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ished project\Finished Excel Project\"/>
    </mc:Choice>
  </mc:AlternateContent>
  <xr:revisionPtr revIDLastSave="0" documentId="13_ncr:1_{5BF09503-10E1-4F23-A1B3-2D10318A664B}" xr6:coauthVersionLast="47" xr6:coauthVersionMax="47" xr10:uidLastSave="{00000000-0000-0000-0000-000000000000}"/>
  <bookViews>
    <workbookView xWindow="-120" yWindow="-120" windowWidth="29040" windowHeight="15720" activeTab="6" xr2:uid="{AE7D899F-E6B5-4DA9-9E51-1D371094E0FE}"/>
  </bookViews>
  <sheets>
    <sheet name="README" sheetId="7" r:id="rId1"/>
    <sheet name="Process Logs" sheetId="3" r:id="rId2"/>
    <sheet name="Raw_Data_Table" sheetId="2" r:id="rId3"/>
    <sheet name="EDA_Table" sheetId="1" r:id="rId4"/>
    <sheet name="EDA" sheetId="4" r:id="rId5"/>
    <sheet name="Clean_Table" sheetId="5" r:id="rId6"/>
    <sheet name="Dashboard" sheetId="6" r:id="rId7"/>
  </sheet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5" l="1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O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N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I34" i="6"/>
  <c r="I8" i="1"/>
  <c r="I12" i="1"/>
  <c r="I14" i="1"/>
  <c r="I18" i="1"/>
  <c r="I23" i="1"/>
  <c r="I31" i="1"/>
  <c r="I35" i="1"/>
  <c r="I37" i="1"/>
  <c r="I39" i="1"/>
  <c r="I61" i="1"/>
  <c r="I64" i="1"/>
  <c r="I65" i="1"/>
  <c r="I68" i="1"/>
  <c r="I73" i="1"/>
  <c r="I79" i="1"/>
  <c r="I83" i="1"/>
  <c r="I92" i="1"/>
  <c r="I93" i="1"/>
  <c r="I100" i="1"/>
  <c r="I114" i="1"/>
  <c r="I122" i="1"/>
  <c r="I124" i="1"/>
  <c r="I128" i="1"/>
  <c r="I137" i="1"/>
  <c r="I139" i="1"/>
  <c r="I146" i="1"/>
  <c r="I167" i="1"/>
  <c r="I171" i="1"/>
  <c r="I174" i="1"/>
  <c r="I178" i="1"/>
  <c r="I180" i="1"/>
  <c r="I184" i="1"/>
  <c r="I188" i="1"/>
  <c r="I191" i="1"/>
  <c r="I203" i="1"/>
  <c r="I207" i="1"/>
  <c r="I212" i="1"/>
  <c r="I213" i="1"/>
  <c r="I214" i="1"/>
  <c r="I221" i="1"/>
  <c r="I222" i="1"/>
  <c r="I225" i="1"/>
  <c r="I229" i="1"/>
  <c r="I230" i="1"/>
  <c r="I238" i="1"/>
  <c r="I239" i="1"/>
  <c r="I248" i="1"/>
  <c r="I251" i="1"/>
  <c r="I255" i="1"/>
  <c r="I270" i="1"/>
  <c r="I275" i="1"/>
  <c r="I283" i="1"/>
  <c r="I287" i="1"/>
  <c r="I291" i="1"/>
  <c r="I295" i="1"/>
  <c r="I315" i="1"/>
  <c r="I323" i="1"/>
  <c r="I324" i="1"/>
  <c r="I327" i="1"/>
  <c r="I328" i="1"/>
  <c r="I333" i="1"/>
  <c r="I337" i="1"/>
  <c r="I344" i="1"/>
  <c r="I348" i="1"/>
  <c r="I352" i="1"/>
  <c r="I356" i="1"/>
  <c r="I358" i="1"/>
  <c r="I376" i="1"/>
  <c r="I379" i="1"/>
  <c r="I381" i="1"/>
  <c r="I388" i="1"/>
  <c r="I391" i="1"/>
  <c r="I396" i="1"/>
  <c r="I397" i="1"/>
  <c r="I400" i="1"/>
  <c r="I402" i="1"/>
  <c r="I403" i="1"/>
  <c r="I407" i="1"/>
  <c r="I409" i="1"/>
  <c r="I411" i="1"/>
  <c r="I413" i="1"/>
  <c r="I419" i="1"/>
  <c r="I441" i="1"/>
  <c r="I446" i="1"/>
  <c r="I452" i="1"/>
  <c r="I461" i="1"/>
  <c r="I465" i="1"/>
  <c r="I471" i="1"/>
  <c r="I474" i="1"/>
  <c r="I485" i="1"/>
  <c r="I496" i="1"/>
  <c r="I500" i="1"/>
  <c r="I509" i="1"/>
  <c r="I512" i="1"/>
  <c r="I519" i="1"/>
  <c r="I528" i="1"/>
  <c r="I531" i="1"/>
  <c r="I536" i="1"/>
  <c r="I538" i="1"/>
  <c r="I546" i="1"/>
  <c r="N3" i="1"/>
  <c r="N2" i="1"/>
  <c r="B3" i="6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K451" i="5" s="1"/>
  <c r="I2" i="1"/>
  <c r="I3" i="1"/>
  <c r="I4" i="1"/>
  <c r="I5" i="1"/>
  <c r="I6" i="1"/>
  <c r="I7" i="1"/>
  <c r="I9" i="1"/>
  <c r="I10" i="1"/>
  <c r="I11" i="1"/>
  <c r="I13" i="1"/>
  <c r="I15" i="1"/>
  <c r="I16" i="1"/>
  <c r="I17" i="1"/>
  <c r="I19" i="1"/>
  <c r="I20" i="1"/>
  <c r="I21" i="1"/>
  <c r="I22" i="1"/>
  <c r="I24" i="1"/>
  <c r="I25" i="1"/>
  <c r="I26" i="1"/>
  <c r="I27" i="1"/>
  <c r="I28" i="1"/>
  <c r="I29" i="1"/>
  <c r="I30" i="1"/>
  <c r="I32" i="1"/>
  <c r="I33" i="1"/>
  <c r="I34" i="1"/>
  <c r="I36" i="1"/>
  <c r="I38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2" i="1"/>
  <c r="I63" i="1"/>
  <c r="I66" i="1"/>
  <c r="I67" i="1"/>
  <c r="I69" i="1"/>
  <c r="I70" i="1"/>
  <c r="I71" i="1"/>
  <c r="I72" i="1"/>
  <c r="I74" i="1"/>
  <c r="I75" i="1"/>
  <c r="I76" i="1"/>
  <c r="I77" i="1"/>
  <c r="I78" i="1"/>
  <c r="I80" i="1"/>
  <c r="I81" i="1"/>
  <c r="I82" i="1"/>
  <c r="I84" i="1"/>
  <c r="I85" i="1"/>
  <c r="I86" i="1"/>
  <c r="I87" i="1"/>
  <c r="I88" i="1"/>
  <c r="I89" i="1"/>
  <c r="I90" i="1"/>
  <c r="I91" i="1"/>
  <c r="I94" i="1"/>
  <c r="I95" i="1"/>
  <c r="I96" i="1"/>
  <c r="I97" i="1"/>
  <c r="I98" i="1"/>
  <c r="I99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5" i="1"/>
  <c r="I116" i="1"/>
  <c r="I117" i="1"/>
  <c r="I118" i="1"/>
  <c r="I119" i="1"/>
  <c r="I120" i="1"/>
  <c r="I121" i="1"/>
  <c r="I123" i="1"/>
  <c r="I125" i="1"/>
  <c r="I126" i="1"/>
  <c r="I127" i="1"/>
  <c r="I129" i="1"/>
  <c r="I130" i="1"/>
  <c r="I131" i="1"/>
  <c r="I132" i="1"/>
  <c r="I133" i="1"/>
  <c r="I134" i="1"/>
  <c r="I135" i="1"/>
  <c r="I136" i="1"/>
  <c r="I138" i="1"/>
  <c r="I140" i="1"/>
  <c r="I141" i="1"/>
  <c r="I142" i="1"/>
  <c r="I143" i="1"/>
  <c r="I144" i="1"/>
  <c r="I145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8" i="1"/>
  <c r="I169" i="1"/>
  <c r="I170" i="1"/>
  <c r="I172" i="1"/>
  <c r="I173" i="1"/>
  <c r="I175" i="1"/>
  <c r="I176" i="1"/>
  <c r="I177" i="1"/>
  <c r="I179" i="1"/>
  <c r="I181" i="1"/>
  <c r="I182" i="1"/>
  <c r="I183" i="1"/>
  <c r="I185" i="1"/>
  <c r="I186" i="1"/>
  <c r="I187" i="1"/>
  <c r="I189" i="1"/>
  <c r="I190" i="1"/>
  <c r="I192" i="1"/>
  <c r="I193" i="1"/>
  <c r="I194" i="1"/>
  <c r="I195" i="1"/>
  <c r="I196" i="1"/>
  <c r="I197" i="1"/>
  <c r="I198" i="1"/>
  <c r="I199" i="1"/>
  <c r="I200" i="1"/>
  <c r="I201" i="1"/>
  <c r="I202" i="1"/>
  <c r="I204" i="1"/>
  <c r="I205" i="1"/>
  <c r="I206" i="1"/>
  <c r="I208" i="1"/>
  <c r="I209" i="1"/>
  <c r="I210" i="1"/>
  <c r="I211" i="1"/>
  <c r="I215" i="1"/>
  <c r="I216" i="1"/>
  <c r="I217" i="1"/>
  <c r="I218" i="1"/>
  <c r="I219" i="1"/>
  <c r="I220" i="1"/>
  <c r="I223" i="1"/>
  <c r="I224" i="1"/>
  <c r="I226" i="1"/>
  <c r="I227" i="1"/>
  <c r="I228" i="1"/>
  <c r="I231" i="1"/>
  <c r="I232" i="1"/>
  <c r="I233" i="1"/>
  <c r="I234" i="1"/>
  <c r="I235" i="1"/>
  <c r="I236" i="1"/>
  <c r="I237" i="1"/>
  <c r="I240" i="1"/>
  <c r="I241" i="1"/>
  <c r="I242" i="1"/>
  <c r="I243" i="1"/>
  <c r="I244" i="1"/>
  <c r="I245" i="1"/>
  <c r="I246" i="1"/>
  <c r="I247" i="1"/>
  <c r="I249" i="1"/>
  <c r="I250" i="1"/>
  <c r="I252" i="1"/>
  <c r="I253" i="1"/>
  <c r="I254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1" i="1"/>
  <c r="I272" i="1"/>
  <c r="I273" i="1"/>
  <c r="I274" i="1"/>
  <c r="I276" i="1"/>
  <c r="I277" i="1"/>
  <c r="I278" i="1"/>
  <c r="I279" i="1"/>
  <c r="I280" i="1"/>
  <c r="I281" i="1"/>
  <c r="I282" i="1"/>
  <c r="I284" i="1"/>
  <c r="I285" i="1"/>
  <c r="I286" i="1"/>
  <c r="I288" i="1"/>
  <c r="I289" i="1"/>
  <c r="I290" i="1"/>
  <c r="I292" i="1"/>
  <c r="I293" i="1"/>
  <c r="I294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6" i="1"/>
  <c r="I317" i="1"/>
  <c r="I318" i="1"/>
  <c r="I319" i="1"/>
  <c r="I320" i="1"/>
  <c r="I321" i="1"/>
  <c r="I322" i="1"/>
  <c r="I325" i="1"/>
  <c r="I326" i="1"/>
  <c r="I329" i="1"/>
  <c r="I330" i="1"/>
  <c r="I331" i="1"/>
  <c r="I332" i="1"/>
  <c r="I334" i="1"/>
  <c r="I335" i="1"/>
  <c r="I336" i="1"/>
  <c r="I338" i="1"/>
  <c r="I339" i="1"/>
  <c r="I340" i="1"/>
  <c r="I341" i="1"/>
  <c r="I342" i="1"/>
  <c r="I343" i="1"/>
  <c r="I345" i="1"/>
  <c r="I346" i="1"/>
  <c r="I347" i="1"/>
  <c r="I349" i="1"/>
  <c r="I350" i="1"/>
  <c r="I351" i="1"/>
  <c r="I353" i="1"/>
  <c r="I354" i="1"/>
  <c r="I355" i="1"/>
  <c r="I357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7" i="1"/>
  <c r="I378" i="1"/>
  <c r="I380" i="1"/>
  <c r="I382" i="1"/>
  <c r="I383" i="1"/>
  <c r="I384" i="1"/>
  <c r="I385" i="1"/>
  <c r="I386" i="1"/>
  <c r="I387" i="1"/>
  <c r="I389" i="1"/>
  <c r="I390" i="1"/>
  <c r="I392" i="1"/>
  <c r="I393" i="1"/>
  <c r="I394" i="1"/>
  <c r="I395" i="1"/>
  <c r="I398" i="1"/>
  <c r="I399" i="1"/>
  <c r="I401" i="1"/>
  <c r="I404" i="1"/>
  <c r="I405" i="1"/>
  <c r="I406" i="1"/>
  <c r="I408" i="1"/>
  <c r="I410" i="1"/>
  <c r="I412" i="1"/>
  <c r="I414" i="1"/>
  <c r="I415" i="1"/>
  <c r="I416" i="1"/>
  <c r="I417" i="1"/>
  <c r="I418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2" i="1"/>
  <c r="I443" i="1"/>
  <c r="I444" i="1"/>
  <c r="I445" i="1"/>
  <c r="I447" i="1"/>
  <c r="I448" i="1"/>
  <c r="I449" i="1"/>
  <c r="I450" i="1"/>
  <c r="I451" i="1"/>
  <c r="I453" i="1"/>
  <c r="I454" i="1"/>
  <c r="I455" i="1"/>
  <c r="I456" i="1"/>
  <c r="I457" i="1"/>
  <c r="I458" i="1"/>
  <c r="I459" i="1"/>
  <c r="I460" i="1"/>
  <c r="I462" i="1"/>
  <c r="I463" i="1"/>
  <c r="I464" i="1"/>
  <c r="I466" i="1"/>
  <c r="I467" i="1"/>
  <c r="I468" i="1"/>
  <c r="I469" i="1"/>
  <c r="I470" i="1"/>
  <c r="I472" i="1"/>
  <c r="I473" i="1"/>
  <c r="I475" i="1"/>
  <c r="I476" i="1"/>
  <c r="I477" i="1"/>
  <c r="I478" i="1"/>
  <c r="I479" i="1"/>
  <c r="I480" i="1"/>
  <c r="I481" i="1"/>
  <c r="I482" i="1"/>
  <c r="I483" i="1"/>
  <c r="I484" i="1"/>
  <c r="I486" i="1"/>
  <c r="I487" i="1"/>
  <c r="I488" i="1"/>
  <c r="I489" i="1"/>
  <c r="I490" i="1"/>
  <c r="I491" i="1"/>
  <c r="I492" i="1"/>
  <c r="I493" i="1"/>
  <c r="I494" i="1"/>
  <c r="I495" i="1"/>
  <c r="I497" i="1"/>
  <c r="I498" i="1"/>
  <c r="I499" i="1"/>
  <c r="I501" i="1"/>
  <c r="I502" i="1"/>
  <c r="I503" i="1"/>
  <c r="I504" i="1"/>
  <c r="I505" i="1"/>
  <c r="I506" i="1"/>
  <c r="I507" i="1"/>
  <c r="I508" i="1"/>
  <c r="I510" i="1"/>
  <c r="I511" i="1"/>
  <c r="I513" i="1"/>
  <c r="I514" i="1"/>
  <c r="I515" i="1"/>
  <c r="I516" i="1"/>
  <c r="I517" i="1"/>
  <c r="I518" i="1"/>
  <c r="I520" i="1"/>
  <c r="I521" i="1"/>
  <c r="I522" i="1"/>
  <c r="I523" i="1"/>
  <c r="I524" i="1"/>
  <c r="I525" i="1"/>
  <c r="I526" i="1"/>
  <c r="I527" i="1"/>
  <c r="I529" i="1"/>
  <c r="I530" i="1"/>
  <c r="I532" i="1"/>
  <c r="I533" i="1"/>
  <c r="I534" i="1"/>
  <c r="I535" i="1"/>
  <c r="I537" i="1"/>
  <c r="I539" i="1"/>
  <c r="I540" i="1"/>
  <c r="I541" i="1"/>
  <c r="I542" i="1"/>
  <c r="I543" i="1"/>
  <c r="I544" i="1"/>
  <c r="I545" i="1"/>
  <c r="I547" i="1"/>
  <c r="I548" i="1"/>
  <c r="I549" i="1"/>
  <c r="I550" i="1"/>
  <c r="I551" i="1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J8" i="1" l="1"/>
  <c r="J12" i="1"/>
  <c r="J14" i="1"/>
  <c r="J18" i="1"/>
  <c r="J23" i="1"/>
  <c r="J31" i="1"/>
  <c r="J35" i="1"/>
  <c r="J37" i="1"/>
  <c r="J39" i="1"/>
  <c r="J61" i="1"/>
  <c r="J64" i="1"/>
  <c r="J65" i="1"/>
  <c r="J68" i="1"/>
  <c r="J73" i="1"/>
  <c r="J79" i="1"/>
  <c r="J83" i="1"/>
  <c r="J92" i="1"/>
  <c r="J93" i="1"/>
  <c r="J100" i="1"/>
  <c r="J114" i="1"/>
  <c r="J122" i="1"/>
  <c r="J124" i="1"/>
  <c r="J128" i="1"/>
  <c r="J137" i="1"/>
  <c r="J139" i="1"/>
  <c r="J146" i="1"/>
  <c r="J167" i="1"/>
  <c r="J171" i="1"/>
  <c r="J174" i="1"/>
  <c r="J178" i="1"/>
  <c r="J180" i="1"/>
  <c r="J184" i="1"/>
  <c r="J188" i="1"/>
  <c r="J191" i="1"/>
  <c r="J203" i="1"/>
  <c r="J207" i="1"/>
  <c r="J212" i="1"/>
  <c r="J213" i="1"/>
  <c r="J214" i="1"/>
  <c r="J221" i="1"/>
  <c r="J222" i="1"/>
  <c r="J225" i="1"/>
  <c r="J229" i="1"/>
  <c r="J230" i="1"/>
  <c r="J238" i="1"/>
  <c r="J239" i="1"/>
  <c r="J248" i="1"/>
  <c r="J251" i="1"/>
  <c r="J255" i="1"/>
  <c r="J270" i="1"/>
  <c r="J275" i="1"/>
  <c r="J283" i="1"/>
  <c r="J287" i="1"/>
  <c r="J291" i="1"/>
  <c r="J295" i="1"/>
  <c r="J315" i="1"/>
  <c r="J323" i="1"/>
  <c r="J324" i="1"/>
  <c r="J327" i="1"/>
  <c r="J328" i="1"/>
  <c r="J333" i="1"/>
  <c r="J337" i="1"/>
  <c r="J344" i="1"/>
  <c r="J348" i="1"/>
  <c r="J352" i="1"/>
  <c r="J356" i="1"/>
  <c r="J358" i="1"/>
  <c r="J376" i="1"/>
  <c r="J379" i="1"/>
  <c r="J381" i="1"/>
  <c r="J388" i="1"/>
  <c r="J391" i="1"/>
  <c r="J396" i="1"/>
  <c r="J397" i="1"/>
  <c r="J400" i="1"/>
  <c r="J402" i="1"/>
  <c r="J403" i="1"/>
  <c r="J407" i="1"/>
  <c r="J409" i="1"/>
  <c r="J411" i="1"/>
  <c r="J413" i="1"/>
  <c r="J419" i="1"/>
  <c r="J441" i="1"/>
  <c r="J446" i="1"/>
  <c r="J452" i="1"/>
  <c r="J461" i="1"/>
  <c r="J465" i="1"/>
  <c r="J471" i="1"/>
  <c r="J474" i="1"/>
  <c r="J485" i="1"/>
  <c r="J496" i="1"/>
  <c r="J500" i="1"/>
  <c r="J509" i="1"/>
  <c r="J512" i="1"/>
  <c r="J519" i="1"/>
  <c r="J528" i="1"/>
  <c r="J531" i="1"/>
  <c r="J536" i="1"/>
  <c r="J538" i="1"/>
  <c r="J546" i="1"/>
  <c r="K450" i="5"/>
  <c r="K449" i="5"/>
  <c r="K448" i="5"/>
  <c r="K447" i="5"/>
  <c r="K446" i="5"/>
  <c r="K445" i="5"/>
  <c r="K444" i="5"/>
  <c r="K443" i="5"/>
  <c r="K442" i="5"/>
  <c r="K441" i="5"/>
  <c r="K440" i="5"/>
  <c r="K439" i="5"/>
  <c r="K438" i="5"/>
  <c r="K437" i="5"/>
  <c r="K436" i="5"/>
  <c r="K435" i="5"/>
  <c r="K434" i="5"/>
  <c r="K433" i="5"/>
  <c r="K432" i="5"/>
  <c r="K431" i="5"/>
  <c r="K430" i="5"/>
  <c r="K429" i="5"/>
  <c r="K428" i="5"/>
  <c r="K427" i="5"/>
  <c r="K426" i="5"/>
  <c r="K425" i="5"/>
  <c r="K424" i="5"/>
  <c r="K423" i="5"/>
  <c r="K422" i="5"/>
  <c r="K421" i="5"/>
  <c r="K420" i="5"/>
  <c r="K419" i="5"/>
  <c r="K418" i="5"/>
  <c r="K417" i="5"/>
  <c r="K416" i="5"/>
  <c r="K415" i="5"/>
  <c r="K414" i="5"/>
  <c r="K413" i="5"/>
  <c r="K412" i="5"/>
  <c r="K411" i="5"/>
  <c r="K410" i="5"/>
  <c r="K409" i="5"/>
  <c r="K408" i="5"/>
  <c r="K407" i="5"/>
  <c r="K406" i="5"/>
  <c r="K405" i="5"/>
  <c r="K404" i="5"/>
  <c r="K403" i="5"/>
  <c r="K402" i="5"/>
  <c r="K401" i="5"/>
  <c r="K400" i="5"/>
  <c r="K399" i="5"/>
  <c r="K398" i="5"/>
  <c r="K397" i="5"/>
  <c r="K396" i="5"/>
  <c r="K395" i="5"/>
  <c r="K394" i="5"/>
  <c r="K393" i="5"/>
  <c r="K392" i="5"/>
  <c r="K391" i="5"/>
  <c r="K390" i="5"/>
  <c r="K389" i="5"/>
  <c r="K388" i="5"/>
  <c r="K387" i="5"/>
  <c r="K386" i="5"/>
  <c r="K385" i="5"/>
  <c r="K384" i="5"/>
  <c r="K383" i="5"/>
  <c r="K382" i="5"/>
  <c r="K381" i="5"/>
  <c r="K380" i="5"/>
  <c r="K379" i="5"/>
  <c r="K378" i="5"/>
  <c r="K377" i="5"/>
  <c r="K376" i="5"/>
  <c r="K375" i="5"/>
  <c r="K374" i="5"/>
  <c r="K373" i="5"/>
  <c r="K372" i="5"/>
  <c r="K371" i="5"/>
  <c r="K370" i="5"/>
  <c r="K369" i="5"/>
  <c r="K368" i="5"/>
  <c r="K367" i="5"/>
  <c r="K366" i="5"/>
  <c r="K365" i="5"/>
  <c r="K364" i="5"/>
  <c r="K363" i="5"/>
  <c r="K362" i="5"/>
  <c r="K361" i="5"/>
  <c r="K360" i="5"/>
  <c r="K359" i="5"/>
  <c r="K358" i="5"/>
  <c r="K357" i="5"/>
  <c r="K356" i="5"/>
  <c r="K355" i="5"/>
  <c r="K354" i="5"/>
  <c r="K353" i="5"/>
  <c r="K352" i="5"/>
  <c r="K351" i="5"/>
  <c r="K350" i="5"/>
  <c r="K349" i="5"/>
  <c r="K348" i="5"/>
  <c r="K347" i="5"/>
  <c r="K346" i="5"/>
  <c r="K345" i="5"/>
  <c r="K344" i="5"/>
  <c r="K343" i="5"/>
  <c r="K342" i="5"/>
  <c r="K341" i="5"/>
  <c r="K340" i="5"/>
  <c r="K339" i="5"/>
  <c r="K338" i="5"/>
  <c r="K337" i="5"/>
  <c r="K336" i="5"/>
  <c r="K335" i="5"/>
  <c r="K334" i="5"/>
  <c r="K333" i="5"/>
  <c r="K332" i="5"/>
  <c r="K331" i="5"/>
  <c r="K330" i="5"/>
  <c r="K329" i="5"/>
  <c r="K328" i="5"/>
  <c r="K327" i="5"/>
  <c r="K326" i="5"/>
  <c r="K325" i="5"/>
  <c r="K324" i="5"/>
  <c r="K323" i="5"/>
  <c r="K322" i="5"/>
  <c r="K321" i="5"/>
  <c r="K320" i="5"/>
  <c r="K319" i="5"/>
  <c r="K318" i="5"/>
  <c r="K317" i="5"/>
  <c r="K316" i="5"/>
  <c r="K315" i="5"/>
  <c r="K314" i="5"/>
  <c r="K313" i="5"/>
  <c r="K312" i="5"/>
  <c r="K311" i="5"/>
  <c r="K310" i="5"/>
  <c r="K309" i="5"/>
  <c r="K308" i="5"/>
  <c r="K307" i="5"/>
  <c r="K306" i="5"/>
  <c r="K305" i="5"/>
  <c r="K304" i="5"/>
  <c r="K303" i="5"/>
  <c r="K302" i="5"/>
  <c r="K301" i="5"/>
  <c r="K300" i="5"/>
  <c r="K299" i="5"/>
  <c r="K298" i="5"/>
  <c r="K297" i="5"/>
  <c r="K296" i="5"/>
  <c r="K295" i="5"/>
  <c r="K294" i="5"/>
  <c r="K293" i="5"/>
  <c r="K292" i="5"/>
  <c r="K291" i="5"/>
  <c r="K290" i="5"/>
  <c r="K289" i="5"/>
  <c r="K288" i="5"/>
  <c r="K287" i="5"/>
  <c r="K286" i="5"/>
  <c r="K285" i="5"/>
  <c r="K284" i="5"/>
  <c r="K283" i="5"/>
  <c r="K282" i="5"/>
  <c r="K281" i="5"/>
  <c r="K280" i="5"/>
  <c r="K279" i="5"/>
  <c r="K278" i="5"/>
  <c r="K277" i="5"/>
  <c r="K276" i="5"/>
  <c r="K275" i="5"/>
  <c r="K274" i="5"/>
  <c r="K273" i="5"/>
  <c r="K272" i="5"/>
  <c r="K271" i="5"/>
  <c r="K270" i="5"/>
  <c r="K269" i="5"/>
  <c r="K268" i="5"/>
  <c r="K267" i="5"/>
  <c r="K266" i="5"/>
  <c r="K265" i="5"/>
  <c r="K264" i="5"/>
  <c r="K263" i="5"/>
  <c r="K262" i="5"/>
  <c r="K261" i="5"/>
  <c r="K260" i="5"/>
  <c r="K259" i="5"/>
  <c r="K258" i="5"/>
  <c r="K257" i="5"/>
  <c r="K256" i="5"/>
  <c r="K255" i="5"/>
  <c r="K254" i="5"/>
  <c r="K253" i="5"/>
  <c r="K252" i="5"/>
  <c r="K251" i="5"/>
  <c r="K250" i="5"/>
  <c r="K249" i="5"/>
  <c r="K248" i="5"/>
  <c r="K247" i="5"/>
  <c r="K246" i="5"/>
  <c r="K245" i="5"/>
  <c r="K244" i="5"/>
  <c r="K243" i="5"/>
  <c r="K242" i="5"/>
  <c r="K241" i="5"/>
  <c r="K240" i="5"/>
  <c r="K239" i="5"/>
  <c r="K238" i="5"/>
  <c r="K237" i="5"/>
  <c r="K236" i="5"/>
  <c r="K235" i="5"/>
  <c r="K234" i="5"/>
  <c r="K233" i="5"/>
  <c r="K232" i="5"/>
  <c r="K231" i="5"/>
  <c r="K230" i="5"/>
  <c r="K229" i="5"/>
  <c r="K228" i="5"/>
  <c r="K227" i="5"/>
  <c r="K226" i="5"/>
  <c r="K225" i="5"/>
  <c r="K224" i="5"/>
  <c r="K223" i="5"/>
  <c r="K222" i="5"/>
  <c r="K221" i="5"/>
  <c r="K220" i="5"/>
  <c r="K219" i="5"/>
  <c r="K218" i="5"/>
  <c r="K217" i="5"/>
  <c r="K216" i="5"/>
  <c r="K215" i="5"/>
  <c r="K214" i="5"/>
  <c r="K213" i="5"/>
  <c r="K212" i="5"/>
  <c r="K211" i="5"/>
  <c r="K210" i="5"/>
  <c r="K209" i="5"/>
  <c r="K208" i="5"/>
  <c r="K207" i="5"/>
  <c r="K206" i="5"/>
  <c r="K205" i="5"/>
  <c r="K204" i="5"/>
  <c r="K203" i="5"/>
  <c r="K202" i="5"/>
  <c r="K201" i="5"/>
  <c r="K200" i="5"/>
  <c r="K199" i="5"/>
  <c r="K198" i="5"/>
  <c r="K197" i="5"/>
  <c r="K196" i="5"/>
  <c r="K195" i="5"/>
  <c r="K194" i="5"/>
  <c r="K193" i="5"/>
  <c r="K192" i="5"/>
  <c r="K191" i="5"/>
  <c r="K190" i="5"/>
  <c r="K189" i="5"/>
  <c r="K188" i="5"/>
  <c r="K187" i="5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  <c r="J3" i="1"/>
  <c r="J2" i="1"/>
  <c r="J4" i="1"/>
  <c r="J5" i="1"/>
  <c r="J6" i="1"/>
  <c r="J7" i="1"/>
  <c r="J9" i="1"/>
  <c r="J10" i="1"/>
  <c r="J11" i="1"/>
  <c r="J13" i="1"/>
  <c r="J15" i="1"/>
  <c r="J16" i="1"/>
  <c r="J17" i="1"/>
  <c r="J19" i="1"/>
  <c r="J20" i="1"/>
  <c r="J21" i="1"/>
  <c r="J22" i="1"/>
  <c r="J24" i="1"/>
  <c r="J25" i="1"/>
  <c r="J26" i="1"/>
  <c r="J27" i="1"/>
  <c r="J28" i="1"/>
  <c r="J29" i="1"/>
  <c r="J30" i="1"/>
  <c r="J32" i="1"/>
  <c r="J33" i="1"/>
  <c r="J34" i="1"/>
  <c r="J36" i="1"/>
  <c r="J38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2" i="1"/>
  <c r="J63" i="1"/>
  <c r="J66" i="1"/>
  <c r="J67" i="1"/>
  <c r="J69" i="1"/>
  <c r="J70" i="1"/>
  <c r="J71" i="1"/>
  <c r="J72" i="1"/>
  <c r="J74" i="1"/>
  <c r="J75" i="1"/>
  <c r="J76" i="1"/>
  <c r="J77" i="1"/>
  <c r="J78" i="1"/>
  <c r="J80" i="1"/>
  <c r="J81" i="1"/>
  <c r="J82" i="1"/>
  <c r="J84" i="1"/>
  <c r="J85" i="1"/>
  <c r="J86" i="1"/>
  <c r="J87" i="1"/>
  <c r="J88" i="1"/>
  <c r="J89" i="1"/>
  <c r="J90" i="1"/>
  <c r="J91" i="1"/>
  <c r="J94" i="1"/>
  <c r="J95" i="1"/>
  <c r="J96" i="1"/>
  <c r="J97" i="1"/>
  <c r="J98" i="1"/>
  <c r="J99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5" i="1"/>
  <c r="J116" i="1"/>
  <c r="J117" i="1"/>
  <c r="J118" i="1"/>
  <c r="J119" i="1"/>
  <c r="J120" i="1"/>
  <c r="J121" i="1"/>
  <c r="J123" i="1"/>
  <c r="J125" i="1"/>
  <c r="J126" i="1"/>
  <c r="J127" i="1"/>
  <c r="J129" i="1"/>
  <c r="J130" i="1"/>
  <c r="J131" i="1"/>
  <c r="J132" i="1"/>
  <c r="J133" i="1"/>
  <c r="J134" i="1"/>
  <c r="J135" i="1"/>
  <c r="J136" i="1"/>
  <c r="J138" i="1"/>
  <c r="J140" i="1"/>
  <c r="J141" i="1"/>
  <c r="J142" i="1"/>
  <c r="J143" i="1"/>
  <c r="J144" i="1"/>
  <c r="J145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8" i="1"/>
  <c r="J169" i="1"/>
  <c r="J170" i="1"/>
  <c r="J172" i="1"/>
  <c r="J173" i="1"/>
  <c r="J175" i="1"/>
  <c r="J176" i="1"/>
  <c r="J177" i="1"/>
  <c r="J179" i="1"/>
  <c r="J181" i="1"/>
  <c r="J182" i="1"/>
  <c r="J183" i="1"/>
  <c r="J185" i="1"/>
  <c r="J186" i="1"/>
  <c r="J187" i="1"/>
  <c r="J189" i="1"/>
  <c r="J190" i="1"/>
  <c r="J192" i="1"/>
  <c r="J193" i="1"/>
  <c r="J194" i="1"/>
  <c r="J195" i="1"/>
  <c r="J196" i="1"/>
  <c r="J197" i="1"/>
  <c r="J198" i="1"/>
  <c r="J199" i="1"/>
  <c r="J200" i="1"/>
  <c r="J201" i="1"/>
  <c r="J202" i="1"/>
  <c r="J204" i="1"/>
  <c r="J205" i="1"/>
  <c r="J206" i="1"/>
  <c r="J208" i="1"/>
  <c r="J209" i="1"/>
  <c r="J210" i="1"/>
  <c r="J211" i="1"/>
  <c r="J215" i="1"/>
  <c r="J216" i="1"/>
  <c r="J217" i="1"/>
  <c r="J218" i="1"/>
  <c r="J219" i="1"/>
  <c r="J220" i="1"/>
  <c r="J223" i="1"/>
  <c r="J224" i="1"/>
  <c r="J226" i="1"/>
  <c r="J227" i="1"/>
  <c r="J228" i="1"/>
  <c r="J231" i="1"/>
  <c r="J232" i="1"/>
  <c r="J233" i="1"/>
  <c r="J234" i="1"/>
  <c r="J235" i="1"/>
  <c r="J236" i="1"/>
  <c r="J237" i="1"/>
  <c r="J240" i="1"/>
  <c r="J241" i="1"/>
  <c r="J242" i="1"/>
  <c r="J243" i="1"/>
  <c r="J244" i="1"/>
  <c r="J245" i="1"/>
  <c r="J246" i="1"/>
  <c r="J247" i="1"/>
  <c r="J249" i="1"/>
  <c r="J250" i="1"/>
  <c r="J252" i="1"/>
  <c r="J253" i="1"/>
  <c r="J254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1" i="1"/>
  <c r="J272" i="1"/>
  <c r="J273" i="1"/>
  <c r="J274" i="1"/>
  <c r="J276" i="1"/>
  <c r="J277" i="1"/>
  <c r="J278" i="1"/>
  <c r="J279" i="1"/>
  <c r="J280" i="1"/>
  <c r="J281" i="1"/>
  <c r="J282" i="1"/>
  <c r="J284" i="1"/>
  <c r="J285" i="1"/>
  <c r="J286" i="1"/>
  <c r="J288" i="1"/>
  <c r="J289" i="1"/>
  <c r="J290" i="1"/>
  <c r="J292" i="1"/>
  <c r="J293" i="1"/>
  <c r="J294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6" i="1"/>
  <c r="J317" i="1"/>
  <c r="J318" i="1"/>
  <c r="J319" i="1"/>
  <c r="J320" i="1"/>
  <c r="J321" i="1"/>
  <c r="J322" i="1"/>
  <c r="J325" i="1"/>
  <c r="J326" i="1"/>
  <c r="J329" i="1"/>
  <c r="J330" i="1"/>
  <c r="J331" i="1"/>
  <c r="J332" i="1"/>
  <c r="J334" i="1"/>
  <c r="J335" i="1"/>
  <c r="J336" i="1"/>
  <c r="J338" i="1"/>
  <c r="J339" i="1"/>
  <c r="J340" i="1"/>
  <c r="J341" i="1"/>
  <c r="J342" i="1"/>
  <c r="J343" i="1"/>
  <c r="J345" i="1"/>
  <c r="J346" i="1"/>
  <c r="J347" i="1"/>
  <c r="J349" i="1"/>
  <c r="J350" i="1"/>
  <c r="J351" i="1"/>
  <c r="J353" i="1"/>
  <c r="J354" i="1"/>
  <c r="J355" i="1"/>
  <c r="J357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7" i="1"/>
  <c r="J378" i="1"/>
  <c r="J380" i="1"/>
  <c r="J382" i="1"/>
  <c r="J383" i="1"/>
  <c r="J384" i="1"/>
  <c r="J385" i="1"/>
  <c r="J386" i="1"/>
  <c r="J387" i="1"/>
  <c r="J389" i="1"/>
  <c r="J390" i="1"/>
  <c r="J392" i="1"/>
  <c r="J393" i="1"/>
  <c r="J394" i="1"/>
  <c r="J395" i="1"/>
  <c r="J398" i="1"/>
  <c r="J399" i="1"/>
  <c r="J401" i="1"/>
  <c r="J404" i="1"/>
  <c r="J405" i="1"/>
  <c r="J406" i="1"/>
  <c r="J408" i="1"/>
  <c r="J410" i="1"/>
  <c r="J412" i="1"/>
  <c r="J414" i="1"/>
  <c r="J415" i="1"/>
  <c r="J416" i="1"/>
  <c r="J417" i="1"/>
  <c r="J418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2" i="1"/>
  <c r="J443" i="1"/>
  <c r="J444" i="1"/>
  <c r="J445" i="1"/>
  <c r="J447" i="1"/>
  <c r="J448" i="1"/>
  <c r="J449" i="1"/>
  <c r="J450" i="1"/>
  <c r="J451" i="1"/>
  <c r="J453" i="1"/>
  <c r="J454" i="1"/>
  <c r="J455" i="1"/>
  <c r="J456" i="1"/>
  <c r="J457" i="1"/>
  <c r="J458" i="1"/>
  <c r="J459" i="1"/>
  <c r="J460" i="1"/>
  <c r="J462" i="1"/>
  <c r="J463" i="1"/>
  <c r="J464" i="1"/>
  <c r="J466" i="1"/>
  <c r="J467" i="1"/>
  <c r="J468" i="1"/>
  <c r="J469" i="1"/>
  <c r="J470" i="1"/>
  <c r="J472" i="1"/>
  <c r="J473" i="1"/>
  <c r="J475" i="1"/>
  <c r="J476" i="1"/>
  <c r="J477" i="1"/>
  <c r="J478" i="1"/>
  <c r="J479" i="1"/>
  <c r="J480" i="1"/>
  <c r="J481" i="1"/>
  <c r="J482" i="1"/>
  <c r="J483" i="1"/>
  <c r="J484" i="1"/>
  <c r="J486" i="1"/>
  <c r="J487" i="1"/>
  <c r="J488" i="1"/>
  <c r="J489" i="1"/>
  <c r="J490" i="1"/>
  <c r="J491" i="1"/>
  <c r="J492" i="1"/>
  <c r="J493" i="1"/>
  <c r="J494" i="1"/>
  <c r="J495" i="1"/>
  <c r="J497" i="1"/>
  <c r="J498" i="1"/>
  <c r="J499" i="1"/>
  <c r="J501" i="1"/>
  <c r="J502" i="1"/>
  <c r="J503" i="1"/>
  <c r="J504" i="1"/>
  <c r="J505" i="1"/>
  <c r="J506" i="1"/>
  <c r="J507" i="1"/>
  <c r="J508" i="1"/>
  <c r="J510" i="1"/>
  <c r="J511" i="1"/>
  <c r="J513" i="1"/>
  <c r="J514" i="1"/>
  <c r="J515" i="1"/>
  <c r="J516" i="1"/>
  <c r="J517" i="1"/>
  <c r="J518" i="1"/>
  <c r="J520" i="1"/>
  <c r="J521" i="1"/>
  <c r="J522" i="1"/>
  <c r="J523" i="1"/>
  <c r="J524" i="1"/>
  <c r="J525" i="1"/>
  <c r="J526" i="1"/>
  <c r="J527" i="1"/>
  <c r="J529" i="1"/>
  <c r="J530" i="1"/>
  <c r="J532" i="1"/>
  <c r="J533" i="1"/>
  <c r="J534" i="1"/>
  <c r="J535" i="1"/>
  <c r="J537" i="1"/>
  <c r="J539" i="1"/>
  <c r="J540" i="1"/>
  <c r="J541" i="1"/>
  <c r="J542" i="1"/>
  <c r="J543" i="1"/>
  <c r="J544" i="1"/>
  <c r="J545" i="1"/>
  <c r="J547" i="1"/>
  <c r="J548" i="1"/>
  <c r="J549" i="1"/>
  <c r="J550" i="1"/>
  <c r="J551" i="1"/>
  <c r="N5" i="1" l="1"/>
  <c r="N4" i="1"/>
</calcChain>
</file>

<file path=xl/sharedStrings.xml><?xml version="1.0" encoding="utf-8"?>
<sst xmlns="http://schemas.openxmlformats.org/spreadsheetml/2006/main" count="11156" uniqueCount="982">
  <si>
    <t>Name</t>
  </si>
  <si>
    <t>Email</t>
  </si>
  <si>
    <t>Country</t>
  </si>
  <si>
    <t>Session</t>
  </si>
  <si>
    <t>Arrival Time</t>
  </si>
  <si>
    <t>Seat</t>
  </si>
  <si>
    <t>Food Preference</t>
  </si>
  <si>
    <t>Role</t>
  </si>
  <si>
    <t>Temp ID</t>
  </si>
  <si>
    <t>Duplicate Check</t>
  </si>
  <si>
    <t>Jordan Smith</t>
  </si>
  <si>
    <t>jordan.smith783@example.com</t>
  </si>
  <si>
    <t>United States</t>
  </si>
  <si>
    <t>Training: Dashboard Design</t>
  </si>
  <si>
    <t>10A</t>
  </si>
  <si>
    <t>Vegetarian</t>
  </si>
  <si>
    <t>VIP</t>
  </si>
  <si>
    <t>Riley Allen</t>
  </si>
  <si>
    <t>riley.allen285@example.com</t>
  </si>
  <si>
    <t xml:space="preserve"> </t>
  </si>
  <si>
    <t>10B</t>
  </si>
  <si>
    <t>Speaker</t>
  </si>
  <si>
    <t>Morgan Hall</t>
  </si>
  <si>
    <t>morgan.hall123@example.com</t>
  </si>
  <si>
    <t>Sponsor</t>
  </si>
  <si>
    <t>Jesse Clark</t>
  </si>
  <si>
    <t>jesse.clark592@example.com</t>
  </si>
  <si>
    <t>France</t>
  </si>
  <si>
    <t>Kosher</t>
  </si>
  <si>
    <t>Chris Hall</t>
  </si>
  <si>
    <t>chris.hall470@example.com</t>
  </si>
  <si>
    <t>None</t>
  </si>
  <si>
    <t>Taylor Clark</t>
  </si>
  <si>
    <t>taylor.clark735@example.com</t>
  </si>
  <si>
    <t>Germany</t>
  </si>
  <si>
    <t>Taylor Hall</t>
  </si>
  <si>
    <t>taylor.hall935@example.com</t>
  </si>
  <si>
    <t>Canada</t>
  </si>
  <si>
    <t>10C</t>
  </si>
  <si>
    <t>Attendee</t>
  </si>
  <si>
    <t>Drew Allen</t>
  </si>
  <si>
    <t>drew.allen56@example.com</t>
  </si>
  <si>
    <t>11A</t>
  </si>
  <si>
    <t>Morgan Wilson</t>
  </si>
  <si>
    <t>morgan.wilson271@example.com</t>
  </si>
  <si>
    <t>Keynote: Future of Data</t>
  </si>
  <si>
    <t>Alex Clark</t>
  </si>
  <si>
    <t>alex.clark268@example.com</t>
  </si>
  <si>
    <t>Jamie Clark</t>
  </si>
  <si>
    <t>jamie.clark442@example.com</t>
  </si>
  <si>
    <t>Workshop: Excel Mastery</t>
  </si>
  <si>
    <t>11B</t>
  </si>
  <si>
    <t>Vegan</t>
  </si>
  <si>
    <t>Riley Brown</t>
  </si>
  <si>
    <t>riley.brown482@example.com</t>
  </si>
  <si>
    <t>Brazil</t>
  </si>
  <si>
    <t>11C</t>
  </si>
  <si>
    <t>drew.allen187@example.com</t>
  </si>
  <si>
    <t>jordan.smith391@example.com</t>
  </si>
  <si>
    <t>Casey Lee</t>
  </si>
  <si>
    <t>casey.lee206@example.com</t>
  </si>
  <si>
    <t>Riley Johnson</t>
  </si>
  <si>
    <t>riley.johnson240@example.com</t>
  </si>
  <si>
    <t>11D</t>
  </si>
  <si>
    <t>Jamie Smith</t>
  </si>
  <si>
    <t>jamie.smith48@example.com</t>
  </si>
  <si>
    <t>Casey Allen</t>
  </si>
  <si>
    <t>casey.allen429@example.com</t>
  </si>
  <si>
    <t>India</t>
  </si>
  <si>
    <t>Morgan Clark</t>
  </si>
  <si>
    <t>morgan.clark774@example.com</t>
  </si>
  <si>
    <t>Webinar: AI Ethics</t>
  </si>
  <si>
    <t>12A</t>
  </si>
  <si>
    <t>Taylor Smith</t>
  </si>
  <si>
    <t>taylor.smith755@example.com</t>
  </si>
  <si>
    <t>12D</t>
  </si>
  <si>
    <t>Chris Clark</t>
  </si>
  <si>
    <t>chris.clark783@example.com</t>
  </si>
  <si>
    <t>Australia</t>
  </si>
  <si>
    <t>Panel: Women in Tech</t>
  </si>
  <si>
    <t>13C</t>
  </si>
  <si>
    <t>Casey Hall</t>
  </si>
  <si>
    <t>casey.hall845@example.com</t>
  </si>
  <si>
    <t>Chris Walker</t>
  </si>
  <si>
    <t>chris.walker565@example.com</t>
  </si>
  <si>
    <t>Jesse Johnson</t>
  </si>
  <si>
    <t>jesse.johnson655@example.com</t>
  </si>
  <si>
    <t>13D</t>
  </si>
  <si>
    <t>Jordan Lewis</t>
  </si>
  <si>
    <t>jordan.lewis455@example.com</t>
  </si>
  <si>
    <t>14A</t>
  </si>
  <si>
    <t>Halal</t>
  </si>
  <si>
    <t>Jordan Brown</t>
  </si>
  <si>
    <t>jordan.brown914@example.com</t>
  </si>
  <si>
    <t>Alex Brown</t>
  </si>
  <si>
    <t>alex.brown701@example.com</t>
  </si>
  <si>
    <t>United Kingdom</t>
  </si>
  <si>
    <t>14B</t>
  </si>
  <si>
    <t>morgan.clark527@example.com</t>
  </si>
  <si>
    <t>Drew Lewis</t>
  </si>
  <si>
    <t>drew.lewis936@example.com</t>
  </si>
  <si>
    <t>Japan</t>
  </si>
  <si>
    <t>14C</t>
  </si>
  <si>
    <t>riley.allen171@example.com</t>
  </si>
  <si>
    <t>15A</t>
  </si>
  <si>
    <t>Jesse Allen</t>
  </si>
  <si>
    <t>jesse.allen407@example.com</t>
  </si>
  <si>
    <t>15C</t>
  </si>
  <si>
    <t>Jamie Wilson</t>
  </si>
  <si>
    <t>jamie.wilson129@example.com</t>
  </si>
  <si>
    <t>Jordan Lee</t>
  </si>
  <si>
    <t>jordan.lee280@example.com</t>
  </si>
  <si>
    <t>Nigeria</t>
  </si>
  <si>
    <t>15D</t>
  </si>
  <si>
    <t>Drew Wilson</t>
  </si>
  <si>
    <t>drew.wilson671@example.com</t>
  </si>
  <si>
    <t>riley.johnson765@example.com</t>
  </si>
  <si>
    <t>Taylor Wilson</t>
  </si>
  <si>
    <t>taylor.wilson529@example.com</t>
  </si>
  <si>
    <t>Morgan Lewis</t>
  </si>
  <si>
    <t>morgan.lewis504@example.com</t>
  </si>
  <si>
    <t>Jesse Lewis</t>
  </si>
  <si>
    <t>jesse.lewis635@example.com</t>
  </si>
  <si>
    <t>alex.brown798@example.com</t>
  </si>
  <si>
    <t>16A</t>
  </si>
  <si>
    <t>taylor.hall335@example.com</t>
  </si>
  <si>
    <t>casey.hall336@example.com</t>
  </si>
  <si>
    <t>Casey Lewis</t>
  </si>
  <si>
    <t>casey.lewis191@example.com</t>
  </si>
  <si>
    <t>jamie.wilson687@example.com</t>
  </si>
  <si>
    <t>16B</t>
  </si>
  <si>
    <t>morgan.wilson683@example.com</t>
  </si>
  <si>
    <t>casey.allen200@example.com</t>
  </si>
  <si>
    <t>Riley Walker</t>
  </si>
  <si>
    <t>riley.walker901@example.com</t>
  </si>
  <si>
    <t>Morgan Lee</t>
  </si>
  <si>
    <t>morgan.lee562@example.com</t>
  </si>
  <si>
    <t>16C</t>
  </si>
  <si>
    <t>Jesse Brown</t>
  </si>
  <si>
    <t>jesse.brown960@example.com</t>
  </si>
  <si>
    <t>Jordan Allen</t>
  </si>
  <si>
    <t>jordan.allen748@example.com</t>
  </si>
  <si>
    <t>drew.allen522@example.com</t>
  </si>
  <si>
    <t>16D</t>
  </si>
  <si>
    <t>alex.clark809@example.com</t>
  </si>
  <si>
    <t>17A</t>
  </si>
  <si>
    <t>drew.lewis696@example.com</t>
  </si>
  <si>
    <t>Taylor Brown</t>
  </si>
  <si>
    <t>taylor.brown842@example.com</t>
  </si>
  <si>
    <t>17B</t>
  </si>
  <si>
    <t>morgan.clark217@example.com</t>
  </si>
  <si>
    <t>Riley Clark</t>
  </si>
  <si>
    <t>riley.clark42@example.com</t>
  </si>
  <si>
    <t>17C</t>
  </si>
  <si>
    <t>taylor.brown941@example.com</t>
  </si>
  <si>
    <t>Casey Wilson</t>
  </si>
  <si>
    <t>casey.wilson458@example.com</t>
  </si>
  <si>
    <t>jesse.allen777@example.com</t>
  </si>
  <si>
    <t>17D</t>
  </si>
  <si>
    <t>Riley Hall</t>
  </si>
  <si>
    <t>riley.hall367@example.com</t>
  </si>
  <si>
    <t>18A</t>
  </si>
  <si>
    <t>Taylor Lewis</t>
  </si>
  <si>
    <t>taylor.lewis671@example.com</t>
  </si>
  <si>
    <t>Alex Hall</t>
  </si>
  <si>
    <t>alex.hall904@example.com</t>
  </si>
  <si>
    <t>18B</t>
  </si>
  <si>
    <t>taylor.lewis26@example.com</t>
  </si>
  <si>
    <t>Chris Johnson</t>
  </si>
  <si>
    <t>chris.johnson587@example.com</t>
  </si>
  <si>
    <t>Jordan Hall</t>
  </si>
  <si>
    <t>jordan.hall927@example.com</t>
  </si>
  <si>
    <t>18C</t>
  </si>
  <si>
    <t>Chris Allen</t>
  </si>
  <si>
    <t>chris.allen232@example.com</t>
  </si>
  <si>
    <t>jesse.allen904@example.com</t>
  </si>
  <si>
    <t>18D</t>
  </si>
  <si>
    <t>Morgan Brown</t>
  </si>
  <si>
    <t>morgan.brown473@example.com</t>
  </si>
  <si>
    <t>jesse.allen87@example.com</t>
  </si>
  <si>
    <t>Taylor Allen</t>
  </si>
  <si>
    <t>taylor.allen873@example.com</t>
  </si>
  <si>
    <t>19A</t>
  </si>
  <si>
    <t>Morgan Walker</t>
  </si>
  <si>
    <t>morgan.walker284@example.com</t>
  </si>
  <si>
    <t>19B</t>
  </si>
  <si>
    <t>drew.allen806@example.com</t>
  </si>
  <si>
    <t>riley.johnson434@example.com</t>
  </si>
  <si>
    <t>Alex Lewis</t>
  </si>
  <si>
    <t>alex.lewis450@example.com</t>
  </si>
  <si>
    <t>Casey Johnson</t>
  </si>
  <si>
    <t>casey.johnson9@example.com</t>
  </si>
  <si>
    <t>jesse.lewis677@example.com</t>
  </si>
  <si>
    <t>19C</t>
  </si>
  <si>
    <t>jordan.lewis363@example.com</t>
  </si>
  <si>
    <t>riley.walker779@example.com</t>
  </si>
  <si>
    <t>19D</t>
  </si>
  <si>
    <t>Jamie Lewis</t>
  </si>
  <si>
    <t>jamie.lewis475@example.com</t>
  </si>
  <si>
    <t>alex.brown363@example.com</t>
  </si>
  <si>
    <t>alex.hall509@example.com</t>
  </si>
  <si>
    <t>1A</t>
  </si>
  <si>
    <t>Jesse Lee</t>
  </si>
  <si>
    <t>jesse.lee580@example.com</t>
  </si>
  <si>
    <t>1C</t>
  </si>
  <si>
    <t>Drew Johnson</t>
  </si>
  <si>
    <t>drew.johnson788@example.com</t>
  </si>
  <si>
    <t>Chris Wilson</t>
  </si>
  <si>
    <t>chris.wilson739@example.com</t>
  </si>
  <si>
    <t>1D</t>
  </si>
  <si>
    <t>morgan.lee417@example.com</t>
  </si>
  <si>
    <t>Morgan Johnson</t>
  </si>
  <si>
    <t>morgan.johnson969@example.com</t>
  </si>
  <si>
    <t>riley.brown30@example.com</t>
  </si>
  <si>
    <t>Jordan Clark</t>
  </si>
  <si>
    <t>jordan.clark211@example.com</t>
  </si>
  <si>
    <t>20B</t>
  </si>
  <si>
    <t>drew.wilson386@example.com</t>
  </si>
  <si>
    <t>20C</t>
  </si>
  <si>
    <t>jesse.lewis824@example.com</t>
  </si>
  <si>
    <t>jesse.johnson771@example.com</t>
  </si>
  <si>
    <t>20D</t>
  </si>
  <si>
    <t>chris.allen895@example.com</t>
  </si>
  <si>
    <t>Drew Lee</t>
  </si>
  <si>
    <t>drew.lee970@example.com</t>
  </si>
  <si>
    <t>riley.johnson679@example.com</t>
  </si>
  <si>
    <t>21A</t>
  </si>
  <si>
    <t>jordan.brown455@example.com</t>
  </si>
  <si>
    <t>morgan.hall48@example.com</t>
  </si>
  <si>
    <t>Jordan Wilson</t>
  </si>
  <si>
    <t>jordan.wilson512@example.com</t>
  </si>
  <si>
    <t>21B</t>
  </si>
  <si>
    <t>casey.lewis703@example.com</t>
  </si>
  <si>
    <t>chris.clark526@example.com</t>
  </si>
  <si>
    <t>Jamie Brown</t>
  </si>
  <si>
    <t>jamie.brown738@example.com</t>
  </si>
  <si>
    <t>21D</t>
  </si>
  <si>
    <t>Jesse Hall</t>
  </si>
  <si>
    <t>jesse.hall978@example.com</t>
  </si>
  <si>
    <t>Taylor Lee</t>
  </si>
  <si>
    <t>taylor.lee371@example.com</t>
  </si>
  <si>
    <t>22A</t>
  </si>
  <si>
    <t>Morgan Smith</t>
  </si>
  <si>
    <t>morgan.smith73@example.com</t>
  </si>
  <si>
    <t>riley.walker327@example.com</t>
  </si>
  <si>
    <t>morgan.brown286@example.com</t>
  </si>
  <si>
    <t>jordan.smith306@example.com</t>
  </si>
  <si>
    <t>22D</t>
  </si>
  <si>
    <t>jordan.hall739@example.com</t>
  </si>
  <si>
    <t>riley.johnson347@example.com</t>
  </si>
  <si>
    <t>Riley Smith</t>
  </si>
  <si>
    <t>riley.smith651@example.com</t>
  </si>
  <si>
    <t>23A</t>
  </si>
  <si>
    <t>riley.allen577@example.com</t>
  </si>
  <si>
    <t>riley.brown481@example.com</t>
  </si>
  <si>
    <t>Taylor Walker</t>
  </si>
  <si>
    <t>taylor.walker296@example.com</t>
  </si>
  <si>
    <t>Jamie Walker</t>
  </si>
  <si>
    <t>jamie.walker609@example.com</t>
  </si>
  <si>
    <t>23B</t>
  </si>
  <si>
    <t>casey.allen76@example.com</t>
  </si>
  <si>
    <t>jordan.allen520@example.com</t>
  </si>
  <si>
    <t>23C</t>
  </si>
  <si>
    <t>morgan.brown791@example.com</t>
  </si>
  <si>
    <t>jamie.wilson342@example.com</t>
  </si>
  <si>
    <t>Alex Wilson</t>
  </si>
  <si>
    <t>alex.wilson853@example.com</t>
  </si>
  <si>
    <t>jesse.clark485@example.com</t>
  </si>
  <si>
    <t>23D</t>
  </si>
  <si>
    <t>Casey Walker</t>
  </si>
  <si>
    <t>casey.walker622@example.com</t>
  </si>
  <si>
    <t>riley.johnson232@example.com</t>
  </si>
  <si>
    <t>chris.johnson457@example.com</t>
  </si>
  <si>
    <t>jordan.lee357@example.com</t>
  </si>
  <si>
    <t>Chris Lee</t>
  </si>
  <si>
    <t>chris.lee860@example.com</t>
  </si>
  <si>
    <t>alex.lewis586@example.com</t>
  </si>
  <si>
    <t>24A</t>
  </si>
  <si>
    <t>taylor.hall37@example.com</t>
  </si>
  <si>
    <t>jesse.brown689@example.com</t>
  </si>
  <si>
    <t>24B</t>
  </si>
  <si>
    <t>morgan.johnson82@example.com</t>
  </si>
  <si>
    <t>casey.lee167@example.com</t>
  </si>
  <si>
    <t>taylor.allen695@example.com</t>
  </si>
  <si>
    <t>24C</t>
  </si>
  <si>
    <t>taylor.lee337@example.com</t>
  </si>
  <si>
    <t>alex.wilson293@example.com</t>
  </si>
  <si>
    <t>24D</t>
  </si>
  <si>
    <t>Alex Johnson</t>
  </si>
  <si>
    <t>alex.johnson505@example.com</t>
  </si>
  <si>
    <t>casey.lewis463@example.com</t>
  </si>
  <si>
    <t>casey.lewis462@example.com</t>
  </si>
  <si>
    <t>25A</t>
  </si>
  <si>
    <t>casey.hall327@example.com</t>
  </si>
  <si>
    <t>25B</t>
  </si>
  <si>
    <t>jesse.lewis354@example.com</t>
  </si>
  <si>
    <t>alex.wilson232@example.com</t>
  </si>
  <si>
    <t>25C</t>
  </si>
  <si>
    <t>morgan.walker450@example.com</t>
  </si>
  <si>
    <t>25D</t>
  </si>
  <si>
    <t>riley.smith294@example.com</t>
  </si>
  <si>
    <t>riley.clark247@example.com</t>
  </si>
  <si>
    <t>chris.allen499@example.com</t>
  </si>
  <si>
    <t>26A</t>
  </si>
  <si>
    <t>jamie.lewis742@example.com</t>
  </si>
  <si>
    <t>jamie.smith567@example.com</t>
  </si>
  <si>
    <t>jamie.walker998@example.com</t>
  </si>
  <si>
    <t>Drew Clark</t>
  </si>
  <si>
    <t>drew.clark841@example.com</t>
  </si>
  <si>
    <t>26B</t>
  </si>
  <si>
    <t>Jesse Smith</t>
  </si>
  <si>
    <t>jesse.smith573@example.com</t>
  </si>
  <si>
    <t>26C</t>
  </si>
  <si>
    <t>Casey Brown</t>
  </si>
  <si>
    <t>casey.brown250@example.com</t>
  </si>
  <si>
    <t>riley.clark574@example.com</t>
  </si>
  <si>
    <t>jesse.smith446@example.com</t>
  </si>
  <si>
    <t>casey.hall51@example.com</t>
  </si>
  <si>
    <t>26D</t>
  </si>
  <si>
    <t>taylor.walker805@example.com</t>
  </si>
  <si>
    <t>jordan.lewis221@example.com</t>
  </si>
  <si>
    <t>27A</t>
  </si>
  <si>
    <t>Drew Walker</t>
  </si>
  <si>
    <t>drew.walker247@example.com</t>
  </si>
  <si>
    <t>27B</t>
  </si>
  <si>
    <t>chris.walker422@example.com</t>
  </si>
  <si>
    <t>jordan.lewis410@example.com</t>
  </si>
  <si>
    <t>jordan.clark263@example.com</t>
  </si>
  <si>
    <t>jordan.brown510@example.com</t>
  </si>
  <si>
    <t>27C</t>
  </si>
  <si>
    <t>Alex Walker</t>
  </si>
  <si>
    <t>alex.walker322@example.com</t>
  </si>
  <si>
    <t>27D</t>
  </si>
  <si>
    <t>taylor.wilson835@example.com</t>
  </si>
  <si>
    <t>Jamie Johnson</t>
  </si>
  <si>
    <t>jamie.johnson747@example.com</t>
  </si>
  <si>
    <t>riley.allen585@example.com</t>
  </si>
  <si>
    <t>28A</t>
  </si>
  <si>
    <t>jordan.clark609@example.com</t>
  </si>
  <si>
    <t>28B</t>
  </si>
  <si>
    <t>taylor.wilson828@example.com</t>
  </si>
  <si>
    <t>casey.walker109@example.com</t>
  </si>
  <si>
    <t>alex.wilson259@example.com</t>
  </si>
  <si>
    <t>28D</t>
  </si>
  <si>
    <t>taylor.brown62@example.com</t>
  </si>
  <si>
    <t>29A</t>
  </si>
  <si>
    <t>Riley Wilson</t>
  </si>
  <si>
    <t>riley.wilson126@example.com</t>
  </si>
  <si>
    <t>jesse.smith620@example.com</t>
  </si>
  <si>
    <t>jordan.brown2@example.com</t>
  </si>
  <si>
    <t>casey.allen785@example.com</t>
  </si>
  <si>
    <t>jordan.smith413@example.com</t>
  </si>
  <si>
    <t>29B</t>
  </si>
  <si>
    <t>taylor.walker106@example.com</t>
  </si>
  <si>
    <t>29C</t>
  </si>
  <si>
    <t>morgan.brown471@example.com</t>
  </si>
  <si>
    <t>morgan.lewis284@example.com</t>
  </si>
  <si>
    <t>taylor.lee656@example.com</t>
  </si>
  <si>
    <t>29D</t>
  </si>
  <si>
    <t>drew.walker383@example.com</t>
  </si>
  <si>
    <t>2A</t>
  </si>
  <si>
    <t>riley.wilson751@example.com</t>
  </si>
  <si>
    <t>2B</t>
  </si>
  <si>
    <t>morgan.lee971@example.com</t>
  </si>
  <si>
    <t>taylor.hall376@example.com</t>
  </si>
  <si>
    <t>jamie.walker922@example.com</t>
  </si>
  <si>
    <t>Jordan Johnson</t>
  </si>
  <si>
    <t>jordan.johnson844@example.com</t>
  </si>
  <si>
    <t>Casey Clark</t>
  </si>
  <si>
    <t>casey.clark708@example.com</t>
  </si>
  <si>
    <t>2C</t>
  </si>
  <si>
    <t>drew.lewis13@example.com</t>
  </si>
  <si>
    <t>2D</t>
  </si>
  <si>
    <t>taylor.walker713@example.com</t>
  </si>
  <si>
    <t>30A</t>
  </si>
  <si>
    <t>riley.allen482@example.com</t>
  </si>
  <si>
    <t>morgan.walker829@example.com</t>
  </si>
  <si>
    <t>casey.johnson465@example.com</t>
  </si>
  <si>
    <t>30B</t>
  </si>
  <si>
    <t>riley.smith378@example.com</t>
  </si>
  <si>
    <t>30C</t>
  </si>
  <si>
    <t>Jesse Wilson</t>
  </si>
  <si>
    <t>jesse.wilson407@example.com</t>
  </si>
  <si>
    <t>casey.lee888@example.com</t>
  </si>
  <si>
    <t>drew.clark93@example.com</t>
  </si>
  <si>
    <t>jordan.lewis894@example.com</t>
  </si>
  <si>
    <t>Drew Smith</t>
  </si>
  <si>
    <t>drew.smith312@example.com</t>
  </si>
  <si>
    <t>30D</t>
  </si>
  <si>
    <t>Taylor Johnson</t>
  </si>
  <si>
    <t>taylor.johnson640@example.com</t>
  </si>
  <si>
    <t>drew.clark575@example.com</t>
  </si>
  <si>
    <t>31A</t>
  </si>
  <si>
    <t>Jamie Hall</t>
  </si>
  <si>
    <t>jamie.hall849@example.com</t>
  </si>
  <si>
    <t>alex.hall232@example.com</t>
  </si>
  <si>
    <t>Riley Lee</t>
  </si>
  <si>
    <t>riley.lee65@example.com</t>
  </si>
  <si>
    <t>jordan.smith773@example.com</t>
  </si>
  <si>
    <t>alex.walker911@example.com</t>
  </si>
  <si>
    <t>31B</t>
  </si>
  <si>
    <t>taylor.smith988@example.com</t>
  </si>
  <si>
    <t>morgan.johnson686@example.com</t>
  </si>
  <si>
    <t>31D</t>
  </si>
  <si>
    <t>casey.lewis552@example.com</t>
  </si>
  <si>
    <t>32A</t>
  </si>
  <si>
    <t>jesse.lewis798@example.com</t>
  </si>
  <si>
    <t>drew.johnson26@example.com</t>
  </si>
  <si>
    <t>alex.wilson430@example.com</t>
  </si>
  <si>
    <t>casey.lewis611@example.com</t>
  </si>
  <si>
    <t>32B</t>
  </si>
  <si>
    <t>drew.wilson646@example.com</t>
  </si>
  <si>
    <t>32C</t>
  </si>
  <si>
    <t>alex.clark971@example.com</t>
  </si>
  <si>
    <t>taylor.wilson338@example.com</t>
  </si>
  <si>
    <t>32D</t>
  </si>
  <si>
    <t>Chris Lewis</t>
  </si>
  <si>
    <t>chris.lewis997@example.com</t>
  </si>
  <si>
    <t>alex.clark411@example.com</t>
  </si>
  <si>
    <t>Alex Allen</t>
  </si>
  <si>
    <t>alex.allen65@example.com</t>
  </si>
  <si>
    <t>33A</t>
  </si>
  <si>
    <t>casey.hall117@example.com</t>
  </si>
  <si>
    <t>riley.walker250@example.com</t>
  </si>
  <si>
    <t>33B</t>
  </si>
  <si>
    <t>casey.brown656@example.com</t>
  </si>
  <si>
    <t>taylor.smith462@example.com</t>
  </si>
  <si>
    <t>jordan.smith344@example.com</t>
  </si>
  <si>
    <t>33C</t>
  </si>
  <si>
    <t>morgan.clark695@example.com</t>
  </si>
  <si>
    <t>33D</t>
  </si>
  <si>
    <t>taylor.clark174@example.com</t>
  </si>
  <si>
    <t>34A</t>
  </si>
  <si>
    <t>jesse.lewis192@example.com</t>
  </si>
  <si>
    <t>chris.clark883@example.com</t>
  </si>
  <si>
    <t>34B</t>
  </si>
  <si>
    <t>jesse.hall63@example.com</t>
  </si>
  <si>
    <t>jesse.johnson503@example.com</t>
  </si>
  <si>
    <t>drew.walker776@example.com</t>
  </si>
  <si>
    <t>34C</t>
  </si>
  <si>
    <t>jesse.brown64@example.com</t>
  </si>
  <si>
    <t>34D</t>
  </si>
  <si>
    <t>drew.lee627@example.com</t>
  </si>
  <si>
    <t>Alex Lee</t>
  </si>
  <si>
    <t>alex.lee532@example.com</t>
  </si>
  <si>
    <t>taylor.johnson474@example.com</t>
  </si>
  <si>
    <t>35A</t>
  </si>
  <si>
    <t>jordan.smith760@example.com</t>
  </si>
  <si>
    <t>alex.wilson593@example.com</t>
  </si>
  <si>
    <t>riley.brown731@example.com</t>
  </si>
  <si>
    <t>casey.brown460@example.com</t>
  </si>
  <si>
    <t>alex.wilson211@example.com</t>
  </si>
  <si>
    <t>35B</t>
  </si>
  <si>
    <t>casey.johnson837@example.com</t>
  </si>
  <si>
    <t>taylor.brown579@example.com</t>
  </si>
  <si>
    <t>35C</t>
  </si>
  <si>
    <t>casey.brown307@example.com</t>
  </si>
  <si>
    <t>jamie.wilson455@example.com</t>
  </si>
  <si>
    <t>riley.allen761@example.com</t>
  </si>
  <si>
    <t>jesse.wilson567@example.com</t>
  </si>
  <si>
    <t>35D</t>
  </si>
  <si>
    <t>casey.lewis83@example.com</t>
  </si>
  <si>
    <t>taylor.wilson855@example.com</t>
  </si>
  <si>
    <t>taylor.wilson393@example.com</t>
  </si>
  <si>
    <t>morgan.smith811@example.com</t>
  </si>
  <si>
    <t>morgan.clark971@example.com</t>
  </si>
  <si>
    <t>36C</t>
  </si>
  <si>
    <t>taylor.allen265@example.com</t>
  </si>
  <si>
    <t>jamie.hall230@example.com</t>
  </si>
  <si>
    <t>taylor.johnson15@example.com</t>
  </si>
  <si>
    <t>jamie.lewis47@example.com</t>
  </si>
  <si>
    <t>36D</t>
  </si>
  <si>
    <t>chris.walker369@example.com</t>
  </si>
  <si>
    <t>taylor.walker684@example.com</t>
  </si>
  <si>
    <t>jesse.allen676@example.com</t>
  </si>
  <si>
    <t>Drew Brown</t>
  </si>
  <si>
    <t>drew.brown872@example.com</t>
  </si>
  <si>
    <t>37B</t>
  </si>
  <si>
    <t>riley.clark39@example.com</t>
  </si>
  <si>
    <t>jesse.lee776@example.com</t>
  </si>
  <si>
    <t>morgan.walker322@example.com</t>
  </si>
  <si>
    <t>taylor.wilson150@example.com</t>
  </si>
  <si>
    <t>37C</t>
  </si>
  <si>
    <t>casey.wilson507@example.com</t>
  </si>
  <si>
    <t>37D</t>
  </si>
  <si>
    <t>taylor.smith966@example.com</t>
  </si>
  <si>
    <t>alex.walker944@example.com</t>
  </si>
  <si>
    <t>jordan.hall882@example.com</t>
  </si>
  <si>
    <t>38A</t>
  </si>
  <si>
    <t>jamie.walker259@example.com</t>
  </si>
  <si>
    <t>chris.lewis690@example.com</t>
  </si>
  <si>
    <t>38B</t>
  </si>
  <si>
    <t>jordan.brown96@example.com</t>
  </si>
  <si>
    <t>38C</t>
  </si>
  <si>
    <t>Riley Lewis</t>
  </si>
  <si>
    <t>riley.lewis396@example.com</t>
  </si>
  <si>
    <t>alex.lee482@example.com</t>
  </si>
  <si>
    <t>38D</t>
  </si>
  <si>
    <t>riley.lee272@example.com</t>
  </si>
  <si>
    <t>Chris Smith</t>
  </si>
  <si>
    <t>chris.smith339@example.com</t>
  </si>
  <si>
    <t>39A</t>
  </si>
  <si>
    <t>chris.lewis966@example.com</t>
  </si>
  <si>
    <t>jesse.lee804@example.com</t>
  </si>
  <si>
    <t>39B</t>
  </si>
  <si>
    <t>riley.smith106@example.com</t>
  </si>
  <si>
    <t>39C</t>
  </si>
  <si>
    <t>Jamie Lee</t>
  </si>
  <si>
    <t>jamie.lee500@example.com</t>
  </si>
  <si>
    <t>jamie.wilson469@example.com</t>
  </si>
  <si>
    <t>39D</t>
  </si>
  <si>
    <t>riley.allen624@example.com</t>
  </si>
  <si>
    <t>jamie.clark572@example.com</t>
  </si>
  <si>
    <t>3A</t>
  </si>
  <si>
    <t>alex.allen492@example.com</t>
  </si>
  <si>
    <t>chris.hall501@example.com</t>
  </si>
  <si>
    <t>jamie.wilson931@example.com</t>
  </si>
  <si>
    <t>3B</t>
  </si>
  <si>
    <t>riley.walker216@example.com</t>
  </si>
  <si>
    <t>alex.wilson531@example.com</t>
  </si>
  <si>
    <t>3C</t>
  </si>
  <si>
    <t>jamie.wilson715@example.com</t>
  </si>
  <si>
    <t>alex.clark954@example.com</t>
  </si>
  <si>
    <t>drew.lewis190@example.com</t>
  </si>
  <si>
    <t>alex.walker560@example.com</t>
  </si>
  <si>
    <t>3D</t>
  </si>
  <si>
    <t>jamie.brown95@example.com</t>
  </si>
  <si>
    <t>alex.wilson48@example.com</t>
  </si>
  <si>
    <t>casey.brown679@example.com</t>
  </si>
  <si>
    <t>40A</t>
  </si>
  <si>
    <t>drew.lewis462@example.com</t>
  </si>
  <si>
    <t>chris.wilson826@example.com</t>
  </si>
  <si>
    <t>jamie.hall609@example.com</t>
  </si>
  <si>
    <t>taylor.walker144@example.com</t>
  </si>
  <si>
    <t>40B</t>
  </si>
  <si>
    <t>taylor.allen972@example.com</t>
  </si>
  <si>
    <t>Chris Brown</t>
  </si>
  <si>
    <t>chris.brown520@example.com</t>
  </si>
  <si>
    <t>riley.smith93@example.com</t>
  </si>
  <si>
    <t>alex.allen401@example.com</t>
  </si>
  <si>
    <t>morgan.hall278@example.com</t>
  </si>
  <si>
    <t>jamie.walker532@example.com</t>
  </si>
  <si>
    <t>40C</t>
  </si>
  <si>
    <t>chris.allen391@example.com</t>
  </si>
  <si>
    <t>chris.allen547@example.com</t>
  </si>
  <si>
    <t>drew.allen248@example.com</t>
  </si>
  <si>
    <t>chris.hall131@example.com</t>
  </si>
  <si>
    <t>chris.allen72@example.com</t>
  </si>
  <si>
    <t>jamie.brown450@example.com</t>
  </si>
  <si>
    <t>40D</t>
  </si>
  <si>
    <t>riley.walker39@example.com</t>
  </si>
  <si>
    <t>taylor.walker935@example.com</t>
  </si>
  <si>
    <t>alex.johnson964@example.com</t>
  </si>
  <si>
    <t>41A</t>
  </si>
  <si>
    <t>jamie.wilson652@example.com</t>
  </si>
  <si>
    <t>riley.walker266@example.com</t>
  </si>
  <si>
    <t>41B</t>
  </si>
  <si>
    <t>taylor.hall226@example.com</t>
  </si>
  <si>
    <t>riley.walker773@example.com</t>
  </si>
  <si>
    <t>41C</t>
  </si>
  <si>
    <t>casey.lewis755@example.com</t>
  </si>
  <si>
    <t>41D</t>
  </si>
  <si>
    <t>morgan.smith945@example.com</t>
  </si>
  <si>
    <t>jamie.smith385@example.com</t>
  </si>
  <si>
    <t>42A</t>
  </si>
  <si>
    <t>drew.johnson855@example.com</t>
  </si>
  <si>
    <t>casey.johnson195@example.com</t>
  </si>
  <si>
    <t>taylor.wilson106@example.com</t>
  </si>
  <si>
    <t>morgan.johnson807@example.com</t>
  </si>
  <si>
    <t>42B</t>
  </si>
  <si>
    <t>chris.brown292@example.com</t>
  </si>
  <si>
    <t>Jordan Walker</t>
  </si>
  <si>
    <t>jordan.walker103@example.com</t>
  </si>
  <si>
    <t>jamie.brown427@example.com</t>
  </si>
  <si>
    <t>chris.clark140@example.com</t>
  </si>
  <si>
    <t>42C</t>
  </si>
  <si>
    <t>drew.walker280@example.com</t>
  </si>
  <si>
    <t>jesse.brown318@example.com</t>
  </si>
  <si>
    <t>42D</t>
  </si>
  <si>
    <t>alex.johnson582@example.com</t>
  </si>
  <si>
    <t>drew.allen98@example.com</t>
  </si>
  <si>
    <t>chris.allen89@example.com</t>
  </si>
  <si>
    <t>43A</t>
  </si>
  <si>
    <t>jordan.wilson744@example.com</t>
  </si>
  <si>
    <t>43B</t>
  </si>
  <si>
    <t>riley.hall523@example.com</t>
  </si>
  <si>
    <t>riley.smith65@example.com</t>
  </si>
  <si>
    <t>43C</t>
  </si>
  <si>
    <t>jamie.johnson162@example.com</t>
  </si>
  <si>
    <t>jordan.wilson567@example.com</t>
  </si>
  <si>
    <t>chris.brown485@example.com</t>
  </si>
  <si>
    <t>alex.lewis2@example.com</t>
  </si>
  <si>
    <t>jesse.smith635@example.com</t>
  </si>
  <si>
    <t>jordan.lewis391@example.com</t>
  </si>
  <si>
    <t>44A</t>
  </si>
  <si>
    <t>morgan.johnson378@example.com</t>
  </si>
  <si>
    <t>drew.wilson206@example.com</t>
  </si>
  <si>
    <t>44B</t>
  </si>
  <si>
    <t>Jamie Allen</t>
  </si>
  <si>
    <t>jamie.allen257@example.com</t>
  </si>
  <si>
    <t>44C</t>
  </si>
  <si>
    <t>morgan.smith684@example.com</t>
  </si>
  <si>
    <t>casey.allen117@example.com</t>
  </si>
  <si>
    <t>morgan.lee522@example.com</t>
  </si>
  <si>
    <t>44D</t>
  </si>
  <si>
    <t>jesse.lewis842@example.com</t>
  </si>
  <si>
    <t>casey.brown321@example.com</t>
  </si>
  <si>
    <t>morgan.smith350@example.com</t>
  </si>
  <si>
    <t>45A</t>
  </si>
  <si>
    <t>jesse.hall886@example.com</t>
  </si>
  <si>
    <t>riley.walker459@example.com</t>
  </si>
  <si>
    <t>45B</t>
  </si>
  <si>
    <t>chris.walker825@example.com</t>
  </si>
  <si>
    <t>45C</t>
  </si>
  <si>
    <t>casey.johnson118@example.com</t>
  </si>
  <si>
    <t>riley.brown243@example.com</t>
  </si>
  <si>
    <t>morgan.johnson572@example.com</t>
  </si>
  <si>
    <t>45D</t>
  </si>
  <si>
    <t>casey.clark580@example.com</t>
  </si>
  <si>
    <t>Morgan Allen</t>
  </si>
  <si>
    <t>morgan.allen142@example.com</t>
  </si>
  <si>
    <t>46A</t>
  </si>
  <si>
    <t>jordan.lewis81@example.com</t>
  </si>
  <si>
    <t>jamie.clark727@example.com</t>
  </si>
  <si>
    <t>46B</t>
  </si>
  <si>
    <t>chris.allen42@example.com</t>
  </si>
  <si>
    <t>jordan.lewis119@example.com</t>
  </si>
  <si>
    <t>jordan.lee271@example.com</t>
  </si>
  <si>
    <t>46C</t>
  </si>
  <si>
    <t>riley.hall170@example.com</t>
  </si>
  <si>
    <t>riley.lee649@example.com</t>
  </si>
  <si>
    <t>46D</t>
  </si>
  <si>
    <t>Casey Smith</t>
  </si>
  <si>
    <t>casey.smith31@example.com</t>
  </si>
  <si>
    <t>casey.wilson254@example.com</t>
  </si>
  <si>
    <t>47A</t>
  </si>
  <si>
    <t>chris.clark293@example.com</t>
  </si>
  <si>
    <t>jordan.brown675@example.com</t>
  </si>
  <si>
    <t>morgan.johnson209@example.com</t>
  </si>
  <si>
    <t>47B</t>
  </si>
  <si>
    <t>jordan.johnson792@example.com</t>
  </si>
  <si>
    <t>47C</t>
  </si>
  <si>
    <t>drew.johnson631@example.com</t>
  </si>
  <si>
    <t>riley.hall37@example.com</t>
  </si>
  <si>
    <t>48A</t>
  </si>
  <si>
    <t>casey.lee133@example.com</t>
  </si>
  <si>
    <t>jamie.smith186@example.com</t>
  </si>
  <si>
    <t>casey.clark989@example.com</t>
  </si>
  <si>
    <t>48B</t>
  </si>
  <si>
    <t>casey.brown211@example.com</t>
  </si>
  <si>
    <t>jamie.allen446@example.com</t>
  </si>
  <si>
    <t>casey.lee957@example.com</t>
  </si>
  <si>
    <t>48C</t>
  </si>
  <si>
    <t>jamie.hall308@example.com</t>
  </si>
  <si>
    <t>morgan.allen867@example.com</t>
  </si>
  <si>
    <t>jordan.johnson377@example.com</t>
  </si>
  <si>
    <t>taylor.johnson44@example.com</t>
  </si>
  <si>
    <t>48D</t>
  </si>
  <si>
    <t>chris.johnson288@example.com</t>
  </si>
  <si>
    <t>morgan.clark340@example.com</t>
  </si>
  <si>
    <t>49A</t>
  </si>
  <si>
    <t>chris.lewis135@example.com</t>
  </si>
  <si>
    <t>chris.wilson60@example.com</t>
  </si>
  <si>
    <t>49B</t>
  </si>
  <si>
    <t>alex.hall971@example.com</t>
  </si>
  <si>
    <t>chris.johnson237@example.com</t>
  </si>
  <si>
    <t>jordan.clark681@example.com</t>
  </si>
  <si>
    <t>morgan.hall485@example.com</t>
  </si>
  <si>
    <t>casey.smith39@example.com</t>
  </si>
  <si>
    <t>taylor.hall556@example.com</t>
  </si>
  <si>
    <t>49C</t>
  </si>
  <si>
    <t>jesse.lee321@example.com</t>
  </si>
  <si>
    <t>morgan.clark311@example.com</t>
  </si>
  <si>
    <t>49D</t>
  </si>
  <si>
    <t>morgan.walker307@example.com</t>
  </si>
  <si>
    <t>jordan.johnson660@example.com</t>
  </si>
  <si>
    <t>4A</t>
  </si>
  <si>
    <t>jamie.clark267@example.com</t>
  </si>
  <si>
    <t>casey.johnson771@example.com</t>
  </si>
  <si>
    <t>4C</t>
  </si>
  <si>
    <t>chris.johnson63@example.com</t>
  </si>
  <si>
    <t>drew.allen30@example.com</t>
  </si>
  <si>
    <t>drew.wilson969@example.com</t>
  </si>
  <si>
    <t>4D</t>
  </si>
  <si>
    <t>jesse.brown791@example.com</t>
  </si>
  <si>
    <t>casey.johnson948@example.com</t>
  </si>
  <si>
    <t>50A</t>
  </si>
  <si>
    <t>jamie.lewis584@example.com</t>
  </si>
  <si>
    <t>jordan.brown856@example.com</t>
  </si>
  <si>
    <t>drew.wilson97@example.com</t>
  </si>
  <si>
    <t>50B</t>
  </si>
  <si>
    <t>morgan.walker717@example.com</t>
  </si>
  <si>
    <t>jamie.lee321@example.com</t>
  </si>
  <si>
    <t>chris.hall916@example.com</t>
  </si>
  <si>
    <t>50C</t>
  </si>
  <si>
    <t>drew.clark398@example.com</t>
  </si>
  <si>
    <t>jesse.smith846@example.com</t>
  </si>
  <si>
    <t>50D</t>
  </si>
  <si>
    <t>casey.lewis980@example.com</t>
  </si>
  <si>
    <t>morgan.lewis382@example.com</t>
  </si>
  <si>
    <t>5A</t>
  </si>
  <si>
    <t>jesse.lewis375@example.com</t>
  </si>
  <si>
    <t>jamie.clark903@example.com</t>
  </si>
  <si>
    <t>riley.lewis360@example.com</t>
  </si>
  <si>
    <t>jordan.allen27@example.com</t>
  </si>
  <si>
    <t>5B</t>
  </si>
  <si>
    <t>taylor.brown513@example.com</t>
  </si>
  <si>
    <t>5C</t>
  </si>
  <si>
    <t>morgan.wilson25@example.com</t>
  </si>
  <si>
    <t>chris.allen825@example.com</t>
  </si>
  <si>
    <t>drew.smith976@example.com</t>
  </si>
  <si>
    <t>5D</t>
  </si>
  <si>
    <t>jamie.allen3@example.com</t>
  </si>
  <si>
    <t>chris.walker262@example.com</t>
  </si>
  <si>
    <t>riley.lee778@example.com</t>
  </si>
  <si>
    <t>6A</t>
  </si>
  <si>
    <t>casey.brown383@example.com</t>
  </si>
  <si>
    <t>taylor.walker360@example.com</t>
  </si>
  <si>
    <t>jamie.brown881@example.com</t>
  </si>
  <si>
    <t>alex.lewis208@example.com</t>
  </si>
  <si>
    <t>6C</t>
  </si>
  <si>
    <t>drew.brown806@example.com</t>
  </si>
  <si>
    <t>casey.allen843@example.com</t>
  </si>
  <si>
    <t>alex.lewis55@example.com</t>
  </si>
  <si>
    <t>alex.johnson808@example.com</t>
  </si>
  <si>
    <t>casey.lewis387@example.com</t>
  </si>
  <si>
    <t>6D</t>
  </si>
  <si>
    <t>riley.lewis348@example.com</t>
  </si>
  <si>
    <t>taylor.smith873@example.com</t>
  </si>
  <si>
    <t>7A</t>
  </si>
  <si>
    <t>drew.brown327@example.com</t>
  </si>
  <si>
    <t>chris.lee390@example.com</t>
  </si>
  <si>
    <t>jamie.smith974@example.com</t>
  </si>
  <si>
    <t>7B</t>
  </si>
  <si>
    <t>jamie.allen54@example.com</t>
  </si>
  <si>
    <t>7D</t>
  </si>
  <si>
    <t>jamie.smith52@example.com</t>
  </si>
  <si>
    <t>taylor.johnson166@example.com</t>
  </si>
  <si>
    <t>8A</t>
  </si>
  <si>
    <t>taylor.allen3@example.com</t>
  </si>
  <si>
    <t>jamie.lewis124@example.com</t>
  </si>
  <si>
    <t>drew.allen615@example.com</t>
  </si>
  <si>
    <t>jamie.wilson427@example.com</t>
  </si>
  <si>
    <t>morgan.brown651@example.com</t>
  </si>
  <si>
    <t>8B</t>
  </si>
  <si>
    <t>taylor.hall977@example.com</t>
  </si>
  <si>
    <t>8C</t>
  </si>
  <si>
    <t>jamie.walker247@example.com</t>
  </si>
  <si>
    <t>8D</t>
  </si>
  <si>
    <t>chris.brown396@example.com</t>
  </si>
  <si>
    <t>9A</t>
  </si>
  <si>
    <t>Jesse Walker</t>
  </si>
  <si>
    <t>jesse.walker947@example.com</t>
  </si>
  <si>
    <t>morgan.johnson668@example.com</t>
  </si>
  <si>
    <t>9B</t>
  </si>
  <si>
    <t>jamie.smith372@example.com</t>
  </si>
  <si>
    <t>taylor.hall123@example.com</t>
  </si>
  <si>
    <t>alex.lee509@example.com</t>
  </si>
  <si>
    <t>9C</t>
  </si>
  <si>
    <t>morgan.allen501@example.com</t>
  </si>
  <si>
    <t>9D</t>
  </si>
  <si>
    <t>Action</t>
  </si>
  <si>
    <t>Formula/Tool</t>
  </si>
  <si>
    <t>Result</t>
  </si>
  <si>
    <t>Reflection</t>
  </si>
  <si>
    <t>Create copy of the data</t>
  </si>
  <si>
    <t>right-click the sheet &gt; move or copy &gt; create a copy</t>
  </si>
  <si>
    <t>we have the copy of original data in new sheet</t>
  </si>
  <si>
    <t>we can do anything with the copy and left the original untouched</t>
  </si>
  <si>
    <t>Create TempID column in table</t>
  </si>
  <si>
    <t>now we have TempID of the attendees</t>
  </si>
  <si>
    <t>we can uniquely identify each record</t>
  </si>
  <si>
    <t>home &gt; conditional formatting &gt; highlight cell rules &gt; duplicate values</t>
  </si>
  <si>
    <t>duplicate values now color light red</t>
  </si>
  <si>
    <t>we can identify duplicate record</t>
  </si>
  <si>
    <t>if we see value more than once its duplicate otherwise its unique</t>
  </si>
  <si>
    <t>we can identify duplicate record and unique one</t>
  </si>
  <si>
    <t>=IF(COUNTIF([Temp ID],[@[Temp ID]])&gt;1,"Duplicate","Unique")</t>
  </si>
  <si>
    <t>Create Data Quality Summary</t>
  </si>
  <si>
    <t>Data Quality Summary</t>
  </si>
  <si>
    <t>Total Records</t>
  </si>
  <si>
    <t>Total Blanks</t>
  </si>
  <si>
    <t>Total Duplicate Found</t>
  </si>
  <si>
    <t>Total Unique Found</t>
  </si>
  <si>
    <t>Total Records, Total Blanks, Total Duplicate Found, Total Unique Found</t>
  </si>
  <si>
    <t>we know how many records,blanks,duplicate,unique value in table</t>
  </si>
  <si>
    <t>Row Labels</t>
  </si>
  <si>
    <t>Grand Total</t>
  </si>
  <si>
    <t>we can do something about the duplicate and blank record</t>
  </si>
  <si>
    <t>Count of Temp ID</t>
  </si>
  <si>
    <t>Whos attending (by role)</t>
  </si>
  <si>
    <t>Who's attending (by country)</t>
  </si>
  <si>
    <t>Session registered by attendees</t>
  </si>
  <si>
    <t>Create pivot table for attendees</t>
  </si>
  <si>
    <t>select table &gt; insert &gt; pivot table</t>
  </si>
  <si>
    <t>we create pivot table to see who's attending (by role), who's attending (by country), and session registered by attendees</t>
  </si>
  <si>
    <t>we can decide what to do next based on pivot table information</t>
  </si>
  <si>
    <t>Questions</t>
  </si>
  <si>
    <t>1.How many people are attending?</t>
  </si>
  <si>
    <t>2.What countries are guest travelling from?</t>
  </si>
  <si>
    <t>3.Which session has the highest attendance?</t>
  </si>
  <si>
    <t>4.How many VIPs, Speakers, Sponsors are attending?</t>
  </si>
  <si>
    <t>5.How many missing values in the data?</t>
  </si>
  <si>
    <t>EDA (Exploratory Data Analysis)</t>
  </si>
  <si>
    <t>Ask question about the data (EDA)</t>
  </si>
  <si>
    <t>Ask question based on pivot table info</t>
  </si>
  <si>
    <t>we have 5 question asked</t>
  </si>
  <si>
    <t>Empty Cell Check</t>
  </si>
  <si>
    <t>we can create visualization to answer the question</t>
  </si>
  <si>
    <t>Clean the data in Clean_Table</t>
  </si>
  <si>
    <t/>
  </si>
  <si>
    <t>Doing empty cell check with formula &gt; =IF(OR([@Name]="",[@Email]="",[@Country]="",[@Session]="",[@[Arrival Time]]="",[@Seat]="",[@[Food Preference]]="",[@Role]=""),"Missing","OK")</t>
  </si>
  <si>
    <t>Changing Arrival Time format text with formula &gt; =TEXT(E2:E551,"hh:mm AM/PM")</t>
  </si>
  <si>
    <t>We know what row have missing value and row that have complete value</t>
  </si>
  <si>
    <t>11:00 PM</t>
  </si>
  <si>
    <t>12:30 PM</t>
  </si>
  <si>
    <t>01:00 PM</t>
  </si>
  <si>
    <t>07:30 AM</t>
  </si>
  <si>
    <t>03:30 AM</t>
  </si>
  <si>
    <t>01:00 AM</t>
  </si>
  <si>
    <t>08:00 PM</t>
  </si>
  <si>
    <t>09:30 AM</t>
  </si>
  <si>
    <t>04:00 AM</t>
  </si>
  <si>
    <t>05:30 AM</t>
  </si>
  <si>
    <t>06:00 PM</t>
  </si>
  <si>
    <t>10:00 AM</t>
  </si>
  <si>
    <t>02:00 PM</t>
  </si>
  <si>
    <t>04:30 AM</t>
  </si>
  <si>
    <t>04:30 PM</t>
  </si>
  <si>
    <t>10:00 PM</t>
  </si>
  <si>
    <t>12:00 AM</t>
  </si>
  <si>
    <t>06:30 PM</t>
  </si>
  <si>
    <t>12:00 PM</t>
  </si>
  <si>
    <t>07:00 AM</t>
  </si>
  <si>
    <t>05:00 AM</t>
  </si>
  <si>
    <t>02:30 PM</t>
  </si>
  <si>
    <t>03:00 PM</t>
  </si>
  <si>
    <t>10:30 AM</t>
  </si>
  <si>
    <t>03:30 PM</t>
  </si>
  <si>
    <t>09:00 AM</t>
  </si>
  <si>
    <t>08:30 AM</t>
  </si>
  <si>
    <t>03:00 AM</t>
  </si>
  <si>
    <t>11:00 AM</t>
  </si>
  <si>
    <t>06:30 AM</t>
  </si>
  <si>
    <t>02:00 AM</t>
  </si>
  <si>
    <t>02:30 AM</t>
  </si>
  <si>
    <t>07:00 PM</t>
  </si>
  <si>
    <t>07:30 PM</t>
  </si>
  <si>
    <t>11:30 PM</t>
  </si>
  <si>
    <t>10:30 PM</t>
  </si>
  <si>
    <t>05:00 PM</t>
  </si>
  <si>
    <t>05:30 PM</t>
  </si>
  <si>
    <t>09:30 PM</t>
  </si>
  <si>
    <t>12:30 AM</t>
  </si>
  <si>
    <t>08:00 AM</t>
  </si>
  <si>
    <t>01:30 PM</t>
  </si>
  <si>
    <t>06:00 AM</t>
  </si>
  <si>
    <t>09:00 PM</t>
  </si>
  <si>
    <t>04:00 PM</t>
  </si>
  <si>
    <t>08:30 PM</t>
  </si>
  <si>
    <t>11:30 AM</t>
  </si>
  <si>
    <t>01:30 AM</t>
  </si>
  <si>
    <t>Use conditional formatting in TempID column for duplicate in EDA_Table</t>
  </si>
  <si>
    <t>Create Duplicate Check column in EDA_Table</t>
  </si>
  <si>
    <t>Create Duplicate Check column in Clean_table</t>
  </si>
  <si>
    <t>Remove Duplicate in Clean_Table</t>
  </si>
  <si>
    <t>Data &gt; Remove Duplicate &gt; Unselect all &gt; Select TempID column</t>
  </si>
  <si>
    <t>we remove row that have duplicate TempID</t>
  </si>
  <si>
    <t>we remove duplicate row that caused by human error</t>
  </si>
  <si>
    <t>IsVIP</t>
  </si>
  <si>
    <t>use this formula -&gt; =[@Name]&amp;[@Email]&amp;[@Country]&amp;[@Session]&amp;[@[Arrival Time]]&amp;[@Seat]&amp;[@[Food Preference]]&amp;[@Role]</t>
  </si>
  <si>
    <t>IsSpeaker</t>
  </si>
  <si>
    <t>IsSponsor</t>
  </si>
  <si>
    <t>IsNormalAttendee</t>
  </si>
  <si>
    <t>Create IsVIP,IsSpeaker,IsSponsor,IsNormalAttendee column in Clean_Table</t>
  </si>
  <si>
    <t>we disect which row is VIP, Sponsor, Speaker, Attendee</t>
  </si>
  <si>
    <t>act accordingly to each role of attendee</t>
  </si>
  <si>
    <t>EVENT ATTENDANCE DASHBOARD</t>
  </si>
  <si>
    <t>PEOPLE ATTENDING</t>
  </si>
  <si>
    <t>Convert Clean_Table and Pivot Table(EDA) into Dashboard(Answering question from EDA)</t>
  </si>
  <si>
    <t>Missing Flag</t>
  </si>
  <si>
    <t>Missing Values</t>
  </si>
  <si>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.=COUNTA(Clean_Table[Name]) -&gt;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.Insert &gt; Recommended Chart &gt; Bar Chart &gt; Set from smallest to largest &gt; Pivot chart analyze &gt; Field button &gt; hide all &gt; Clean the chart(Axes, chart, data labels)  -&gt;</t>
    </r>
    <r>
      <rPr>
        <b/>
        <sz val="11"/>
        <color theme="1"/>
        <rFont val="Calibri"/>
        <family val="2"/>
        <scheme val="minor"/>
      </rPr>
      <t xml:space="preserve"> 3</t>
    </r>
    <r>
      <rPr>
        <sz val="11"/>
        <color theme="1"/>
        <rFont val="Calibri"/>
        <family val="2"/>
        <scheme val="minor"/>
      </rPr>
      <t xml:space="preserve">.Insert &gt; Recommended Chart &gt; Bar Chart &gt; Set from smallest to largest &gt; Pivot chart analyze &gt; Field button &gt; hide all &gt; Clean the chart(Axes, chart, data labels) -&gt;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.Insert &gt; Recommended Chart &gt; Doughnut Chart &gt; Pivort chart analyze &gt; Field button &gt; Hide all &gt; Right-click doughnut chart &gt; Add data labels &gt; Add data callouts &gt; Clean the chart (Chart title and data lables) </t>
    </r>
    <r>
      <rPr>
        <b/>
        <sz val="11"/>
        <color theme="1"/>
        <rFont val="Calibri"/>
        <family val="2"/>
        <scheme val="minor"/>
      </rPr>
      <t>5.</t>
    </r>
    <r>
      <rPr>
        <sz val="11"/>
        <color theme="1"/>
        <rFont val="Calibri"/>
        <family val="2"/>
        <scheme val="minor"/>
      </rPr>
      <t>=COUNTA('Clean_Table'!P2:P451)</t>
    </r>
  </si>
  <si>
    <t>we have dashboard that have answer to the question from EDA</t>
  </si>
  <si>
    <t>act accordingly to answer that we getting  from formula, horizontal bar chart, and doughnut chart</t>
  </si>
  <si>
    <t>use this formula -&gt; =IF([@Role]="VIP",1,0), =IF([@Role]="Speaker",1,0), =IF([@Role]="Sponsor",1,0 =IF([@Role]="Attendee",1,0)</t>
  </si>
  <si>
    <t>Is Question Answered</t>
  </si>
  <si>
    <t>Yes</t>
  </si>
  <si>
    <t>Excel Project Documentation: Attendee Data Analysis &amp; Dashboard</t>
  </si>
  <si>
    <t>🔹 Overview</t>
  </si>
  <si>
    <t>This project analyzes attendee registration data using Excel. It includes data cleaning, duplicate detection, role segmentation, and dashboard creation to answer key exploratory questions.</t>
  </si>
  <si>
    <t>🧼 Data Cleaning &amp; Preparation</t>
  </si>
  <si>
    <t>Purpose / Insight</t>
  </si>
  <si>
    <t>Create copy of original data</t>
  </si>
  <si>
    <t>Right-click sheet → Move or Copy → Create a copy</t>
  </si>
  <si>
    <t>New sheet created</t>
  </si>
  <si>
    <t>Preserves original data for reference</t>
  </si>
  <si>
    <r>
      <t xml:space="preserve">Create </t>
    </r>
    <r>
      <rPr>
        <sz val="10"/>
        <color theme="1"/>
        <rFont val="Arial Unicode MS"/>
      </rPr>
      <t>TempID</t>
    </r>
    <r>
      <rPr>
        <sz val="11"/>
        <color theme="1"/>
        <rFont val="Calibri"/>
        <family val="2"/>
        <scheme val="minor"/>
      </rPr>
      <t xml:space="preserve"> column</t>
    </r>
  </si>
  <si>
    <t>=[@Name]&amp;[@Email]&amp;[@Country]&amp;[@Session]&amp;[@Arrival Time]&amp;[@Seat]&amp;[@Food Preference]&amp;[@Role]</t>
  </si>
  <si>
    <t>Unique ID per attendee</t>
  </si>
  <si>
    <t>Enables duplicate detection</t>
  </si>
  <si>
    <r>
      <t xml:space="preserve">Highlight duplicates in </t>
    </r>
    <r>
      <rPr>
        <sz val="10"/>
        <color theme="1"/>
        <rFont val="Arial Unicode MS"/>
      </rPr>
      <t>TempID</t>
    </r>
  </si>
  <si>
    <t>Home → Conditional Formatting → Highlight Cell Rules → Duplicate Values</t>
  </si>
  <si>
    <t>Duplicates shown in light red</t>
  </si>
  <si>
    <t>Visual cue for duplicate records</t>
  </si>
  <si>
    <r>
      <t xml:space="preserve">Create </t>
    </r>
    <r>
      <rPr>
        <sz val="10"/>
        <color theme="1"/>
        <rFont val="Arial Unicode MS"/>
      </rPr>
      <t>Duplicate Check</t>
    </r>
    <r>
      <rPr>
        <sz val="11"/>
        <color theme="1"/>
        <rFont val="Calibri"/>
        <family val="2"/>
        <scheme val="minor"/>
      </rPr>
      <t xml:space="preserve"> column</t>
    </r>
  </si>
  <si>
    <t>Flags each row as duplicate or unique</t>
  </si>
  <si>
    <t>Identifies repeated entries</t>
  </si>
  <si>
    <t>Check for missing values</t>
  </si>
  <si>
    <t>=IF(OR([@Name]="",[@Email]="",[@Country]="",[@Session]="",[@Arrival Time]="",[@Seat]="",[@Food Preference]="",[@Role]=""),"Missing","OK")</t>
  </si>
  <si>
    <t>Flags incomplete rows</t>
  </si>
  <si>
    <t>Supports data quality review</t>
  </si>
  <si>
    <t>Standardize arrival time format</t>
  </si>
  <si>
    <t>=TEXT([@Arrival Time],"hh:mm AM/PM")</t>
  </si>
  <si>
    <t>Consistent time format</t>
  </si>
  <si>
    <t>Improves readability and sorting</t>
  </si>
  <si>
    <t>📋 Data Quality Summary</t>
  </si>
  <si>
    <t>Metric</t>
  </si>
  <si>
    <t>Tool</t>
  </si>
  <si>
    <t>Purpose</t>
  </si>
  <si>
    <t>=COUNTA([Name])</t>
  </si>
  <si>
    <t>Count all entries</t>
  </si>
  <si>
    <r>
      <t>=COUNTIF([Column],"")</t>
    </r>
    <r>
      <rPr>
        <sz val="11"/>
        <color theme="1"/>
        <rFont val="Calibri"/>
        <family val="2"/>
        <scheme val="minor"/>
      </rPr>
      <t xml:space="preserve"> per column</t>
    </r>
  </si>
  <si>
    <t>Identify missing fields</t>
  </si>
  <si>
    <t>Total Duplicates</t>
  </si>
  <si>
    <t>=COUNTIF([Duplicate Check],"Duplicate")</t>
  </si>
  <si>
    <t>Quantify duplicate entries</t>
  </si>
  <si>
    <t>Total Unique</t>
  </si>
  <si>
    <t>=COUNTIF([Duplicate Check],"Unique")</t>
  </si>
  <si>
    <t>Confirm clean records</t>
  </si>
  <si>
    <t>🧹 Data Cleaning Actions</t>
  </si>
  <si>
    <t>Remove duplicates</t>
  </si>
  <si>
    <r>
      <t xml:space="preserve">Data → Remove Duplicates → Select </t>
    </r>
    <r>
      <rPr>
        <sz val="10"/>
        <color theme="1"/>
        <rFont val="Arial Unicode MS"/>
      </rPr>
      <t>TempID</t>
    </r>
    <r>
      <rPr>
        <sz val="11"/>
        <color theme="1"/>
        <rFont val="Calibri"/>
        <family val="2"/>
        <scheme val="minor"/>
      </rPr>
      <t xml:space="preserve"> only</t>
    </r>
  </si>
  <si>
    <t>Duplicate rows removed</t>
  </si>
  <si>
    <t>Ensures clean dataset</t>
  </si>
  <si>
    <t>Segment roles</t>
  </si>
  <si>
    <r>
      <t>=IF([@Role]="VIP",1,0)</t>
    </r>
    <r>
      <rPr>
        <sz val="11"/>
        <color theme="1"/>
        <rFont val="Calibri"/>
        <family val="2"/>
        <scheme val="minor"/>
      </rPr>
      <t xml:space="preserve"> etc. for Speaker, Sponsor, Attendee</t>
    </r>
  </si>
  <si>
    <t>Role flags created</t>
  </si>
  <si>
    <t>Enables role-based analysis</t>
  </si>
  <si>
    <t>📊 Exploratory Data Analysis (EDA)</t>
  </si>
  <si>
    <t>Create pivot table</t>
  </si>
  <si>
    <t>Insert → Pivot Table</t>
  </si>
  <si>
    <t>Role, Country, Session breakdown</t>
  </si>
  <si>
    <t>Reveals attendance patterns</t>
  </si>
  <si>
    <t>Ask questions</t>
  </si>
  <si>
    <t>Based on pivot insights</t>
  </si>
  <si>
    <t>5 key questions formed</t>
  </si>
  <si>
    <t>Guides dashboard design</t>
  </si>
  <si>
    <t>📈 Dashboard Creation</t>
  </si>
  <si>
    <t>Tool / Formula</t>
  </si>
  <si>
    <t>Create KPI card</t>
  </si>
  <si>
    <t>Total attendee count</t>
  </si>
  <si>
    <t>Summary metric</t>
  </si>
  <si>
    <t>Create bar charts</t>
  </si>
  <si>
    <t>Insert → Recommended Chart → Bar → Clean formatting</t>
  </si>
  <si>
    <t>Role and country breakdown</t>
  </si>
  <si>
    <t>Visual clarity</t>
  </si>
  <si>
    <t>Create doughnut chart</t>
  </si>
  <si>
    <t>Insert → Doughnut → Add labels and title</t>
  </si>
  <si>
    <t>Session distribution</t>
  </si>
  <si>
    <t>Visual storytelling</t>
  </si>
  <si>
    <t>Final layout</t>
  </si>
  <si>
    <t>Hide field buttons, clean axes, add titles</t>
  </si>
  <si>
    <t>Polished dashboard</t>
  </si>
  <si>
    <t>Answers EDA questions visually</t>
  </si>
  <si>
    <t>📝 Final Notes</t>
  </si>
  <si>
    <r>
      <t>Workbook includes:</t>
    </r>
    <r>
      <rPr>
        <sz val="11"/>
        <color theme="1"/>
        <rFont val="Calibri"/>
        <family val="2"/>
        <scheme val="minor"/>
      </rPr>
      <t xml:space="preserve"> Raw data, Clean_Table, Pivot Table, Dashboard, and Documentation tab.</t>
    </r>
  </si>
  <si>
    <r>
      <t>Version:</t>
    </r>
    <r>
      <rPr>
        <sz val="11"/>
        <color theme="1"/>
        <rFont val="Calibri"/>
        <family val="2"/>
        <scheme val="minor"/>
      </rPr>
      <t xml:space="preserve"> v1.0 | </t>
    </r>
    <r>
      <rPr>
        <b/>
        <sz val="11"/>
        <color theme="1"/>
        <rFont val="Calibri"/>
        <family val="2"/>
        <scheme val="minor"/>
      </rPr>
      <t>Date:</t>
    </r>
    <r>
      <rPr>
        <sz val="11"/>
        <color theme="1"/>
        <rFont val="Calibri"/>
        <family val="2"/>
        <scheme val="minor"/>
      </rPr>
      <t xml:space="preserve"> January 2026</t>
    </r>
  </si>
  <si>
    <r>
      <t>Outcome:</t>
    </r>
    <r>
      <rPr>
        <sz val="11"/>
        <color theme="1"/>
        <rFont val="Calibri"/>
        <family val="2"/>
        <scheme val="minor"/>
      </rPr>
      <t xml:space="preserve"> Cleaned 551 records, removed 23 duplicates, flagged 17 missing entries, and built a dashboard answering 5 key questions.</t>
    </r>
  </si>
  <si>
    <t>=COUNTA(Clean_Table[Name])</t>
  </si>
  <si>
    <t>Metric / Chart</t>
  </si>
  <si>
    <t>Insight &amp; Action Recommendation</t>
  </si>
  <si>
    <t>450 People Attending</t>
  </si>
  <si>
    <t>Confirm venue capacity, catering volume, and registration staffing to support full attendance.</t>
  </si>
  <si>
    <t>Countries Attending</t>
  </si>
  <si>
    <t>Session Attendance</t>
  </si>
  <si>
    <t>AI Ethics and Women in Tech sessions are most popular. Allocate larger rooms and prioritize tech support for these sessions.</t>
  </si>
  <si>
    <t>Attendee Roles</t>
  </si>
  <si>
    <t>Majority are general attendees (86%), but VIPs, Sponsors, and Speakers need tailored logistics — badges, seating, and recognition.</t>
  </si>
  <si>
    <t>271 Missing Values</t>
  </si>
  <si>
    <t>Data gaps may affect personalization and reporting. Recommend sending a follow-up form or reminder to complete missing fields.</t>
  </si>
  <si>
    <t>Top countries: India, Japan, Australia. Consider customizing welcome materials and signage for these countries.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</si>
</sst>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7">
    <xf numFmtId="0" fontId="0" fillId="0" borderId="0" xfId="0"/>
    <xf numFmtId="18" fontId="0" fillId="0" borderId="0" xfId="0" applyNumberFormat="1"/>
    <xf numFmtId="20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2" fillId="0" borderId="0" xfId="1"/>
    <xf numFmtId="0" fontId="0" fillId="0" borderId="0" xfId="0" pivotButton="1"/>
    <xf numFmtId="0" fontId="0" fillId="0" borderId="0" xfId="0" applyAlignment="1">
      <alignment horizontal="left"/>
    </xf>
    <xf numFmtId="0" fontId="5" fillId="0" borderId="0" xfId="0" applyFont="1"/>
    <xf numFmtId="0" fontId="7" fillId="0" borderId="0" xfId="0" applyFont="1"/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0" fillId="0" borderId="0" xfId="0" quotePrefix="1" applyFont="1" applyAlignment="1">
      <alignment vertical="center" wrapText="1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7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4" fillId="0" borderId="9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7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hh:mm"/>
    </dxf>
    <dxf>
      <numFmt numFmtId="0" formatCode="General"/>
    </dxf>
    <dxf>
      <numFmt numFmtId="0" formatCode="General"/>
    </dxf>
    <dxf>
      <numFmt numFmtId="164" formatCode="hh:mm"/>
    </dxf>
    <dxf>
      <alignment horizontal="general" vertical="center" textRotation="0" wrapText="0" indent="0" justifyLastLine="0" shrinkToFit="0" readingOrder="0"/>
    </dxf>
    <dxf>
      <numFmt numFmtId="164" formatCode="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[Event Project.xlsx]EDA!PivotTable2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Countries Attending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EDA!$B$12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DF5-48D0-B530-D8CFFFA7F0D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EDA!$A$13:$A$23</c:f>
              <c:strCache>
                <c:ptCount val="10"/>
                <c:pt idx="0">
                  <c:v>Brazil</c:v>
                </c:pt>
                <c:pt idx="1">
                  <c:v>United States</c:v>
                </c:pt>
                <c:pt idx="2">
                  <c:v>France</c:v>
                </c:pt>
                <c:pt idx="3">
                  <c:v>United Kingdom</c:v>
                </c:pt>
                <c:pt idx="4">
                  <c:v>Germany</c:v>
                </c:pt>
                <c:pt idx="5">
                  <c:v>Nigeria</c:v>
                </c:pt>
                <c:pt idx="6">
                  <c:v>Canada</c:v>
                </c:pt>
                <c:pt idx="7">
                  <c:v>Australia</c:v>
                </c:pt>
                <c:pt idx="8">
                  <c:v>Japan</c:v>
                </c:pt>
                <c:pt idx="9">
                  <c:v>India</c:v>
                </c:pt>
              </c:strCache>
            </c:strRef>
          </c:cat>
          <c:val>
            <c:numRef>
              <c:f>EDA!$B$13:$B$23</c:f>
              <c:numCache>
                <c:formatCode>General</c:formatCode>
                <c:ptCount val="10"/>
                <c:pt idx="0">
                  <c:v>30</c:v>
                </c:pt>
                <c:pt idx="1">
                  <c:v>35</c:v>
                </c:pt>
                <c:pt idx="2">
                  <c:v>37</c:v>
                </c:pt>
                <c:pt idx="3">
                  <c:v>46</c:v>
                </c:pt>
                <c:pt idx="4">
                  <c:v>48</c:v>
                </c:pt>
                <c:pt idx="5">
                  <c:v>51</c:v>
                </c:pt>
                <c:pt idx="6">
                  <c:v>51</c:v>
                </c:pt>
                <c:pt idx="7">
                  <c:v>52</c:v>
                </c:pt>
                <c:pt idx="8">
                  <c:v>53</c:v>
                </c:pt>
                <c:pt idx="9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F5-48D0-B530-D8CFFFA7F0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26781695"/>
        <c:axId val="1926782175"/>
      </c:barChart>
      <c:catAx>
        <c:axId val="192678169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782175"/>
        <c:crosses val="autoZero"/>
        <c:auto val="1"/>
        <c:lblAlgn val="ctr"/>
        <c:lblOffset val="100"/>
        <c:noMultiLvlLbl val="0"/>
      </c:catAx>
      <c:valAx>
        <c:axId val="19267821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267816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[Event Project.xlsx]EDA!PivotTable3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Session Attendees Registered For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EDA!$B$28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05C-42EA-B792-5F584B771A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EDA!$A$29:$A$34</c:f>
              <c:strCache>
                <c:ptCount val="5"/>
                <c:pt idx="0">
                  <c:v>Workshop: Excel Mastery</c:v>
                </c:pt>
                <c:pt idx="1">
                  <c:v>Keynote: Future of Data</c:v>
                </c:pt>
                <c:pt idx="2">
                  <c:v>Training: Dashboard Design</c:v>
                </c:pt>
                <c:pt idx="3">
                  <c:v>Panel: Women in Tech</c:v>
                </c:pt>
                <c:pt idx="4">
                  <c:v>Webinar: AI Ethics</c:v>
                </c:pt>
              </c:strCache>
            </c:strRef>
          </c:cat>
          <c:val>
            <c:numRef>
              <c:f>EDA!$B$29:$B$34</c:f>
              <c:numCache>
                <c:formatCode>General</c:formatCode>
                <c:ptCount val="5"/>
                <c:pt idx="0">
                  <c:v>73</c:v>
                </c:pt>
                <c:pt idx="1">
                  <c:v>74</c:v>
                </c:pt>
                <c:pt idx="2">
                  <c:v>75</c:v>
                </c:pt>
                <c:pt idx="3">
                  <c:v>79</c:v>
                </c:pt>
                <c:pt idx="4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5C-42EA-B792-5F584B771A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69833471"/>
        <c:axId val="1769847391"/>
      </c:barChart>
      <c:catAx>
        <c:axId val="1769833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847391"/>
        <c:crosses val="autoZero"/>
        <c:auto val="1"/>
        <c:lblAlgn val="ctr"/>
        <c:lblOffset val="100"/>
        <c:noMultiLvlLbl val="0"/>
      </c:catAx>
      <c:valAx>
        <c:axId val="17698473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69833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[Event Project.xlsx]EDA!PivotTable1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Who's attending?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777777777777777"/>
              <c:y val="2.777777777777777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88888888888889"/>
              <c:y val="4.6296296296295869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9444444444444475E-2"/>
              <c:y val="-8.796296296296296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3888888888888888E-2"/>
              <c:y val="0.1203703703703703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777777777777777"/>
              <c:y val="2.777777777777777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88888888888889"/>
              <c:y val="4.6296296296295869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9444444444444475E-2"/>
              <c:y val="-8.796296296296296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3888888888888888E-2"/>
              <c:y val="0.1203703703703703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8864908073541167"/>
              <c:y val="-8.7300578797851381E-1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8225419664268586"/>
              <c:y val="2.8571428571428529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027977617905677"/>
              <c:y val="-0.1047619047619048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1974420463628511E-3"/>
              <c:y val="-8.571428571428571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EDA!$B$3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01-4025-9963-89020D3F71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801-4025-9963-89020D3F71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801-4025-9963-89020D3F71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801-4025-9963-89020D3F71A4}"/>
              </c:ext>
            </c:extLst>
          </c:dPt>
          <c:dLbls>
            <c:dLbl>
              <c:idx val="0"/>
              <c:layout>
                <c:manualLayout>
                  <c:x val="0.18864908073541167"/>
                  <c:y val="-8.7300578797851381E-17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01-4025-9963-89020D3F71A4}"/>
                </c:ext>
              </c:extLst>
            </c:dLbl>
            <c:dLbl>
              <c:idx val="1"/>
              <c:layout>
                <c:manualLayout>
                  <c:x val="-0.18225419664268586"/>
                  <c:y val="2.857142857142852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01-4025-9963-89020D3F71A4}"/>
                </c:ext>
              </c:extLst>
            </c:dLbl>
            <c:dLbl>
              <c:idx val="2"/>
              <c:layout>
                <c:manualLayout>
                  <c:x val="-0.15027977617905677"/>
                  <c:y val="-0.10476190476190481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801-4025-9963-89020D3F71A4}"/>
                </c:ext>
              </c:extLst>
            </c:dLbl>
            <c:dLbl>
              <c:idx val="3"/>
              <c:layout>
                <c:manualLayout>
                  <c:x val="3.1974420463628511E-3"/>
                  <c:y val="-8.571428571428571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801-4025-9963-89020D3F71A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EDA!$A$4:$A$8</c:f>
              <c:strCache>
                <c:ptCount val="4"/>
                <c:pt idx="0">
                  <c:v>Attendee</c:v>
                </c:pt>
                <c:pt idx="1">
                  <c:v>Speaker</c:v>
                </c:pt>
                <c:pt idx="2">
                  <c:v>Sponsor</c:v>
                </c:pt>
                <c:pt idx="3">
                  <c:v>VIP</c:v>
                </c:pt>
              </c:strCache>
            </c:strRef>
          </c:cat>
          <c:val>
            <c:numRef>
              <c:f>EDA!$B$4:$B$8</c:f>
              <c:numCache>
                <c:formatCode>General</c:formatCode>
                <c:ptCount val="4"/>
                <c:pt idx="0">
                  <c:v>473</c:v>
                </c:pt>
                <c:pt idx="1">
                  <c:v>16</c:v>
                </c:pt>
                <c:pt idx="2">
                  <c:v>44</c:v>
                </c:pt>
                <c:pt idx="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01-4025-9963-89020D3F7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314325</xdr:colOff>
      <xdr:row>2</xdr:row>
      <xdr:rowOff>9525</xdr:rowOff>
    </xdr:from>
    <xdr:to>
      <xdr:col>15</xdr:col>
      <xdr:colOff>0</xdr:colOff>
      <xdr:row>15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949866-B749-4554-AFFF-F217FDFF68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19049</xdr:colOff>
      <xdr:row>16</xdr:row>
      <xdr:rowOff>190499</xdr:rowOff>
    </xdr:from>
    <xdr:to>
      <xdr:col>14</xdr:col>
      <xdr:colOff>600074</xdr:colOff>
      <xdr:row>32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3AB5CC-E7DC-46B5-A902-0EE09DD283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9525</xdr:rowOff>
    </xdr:from>
    <xdr:to>
      <xdr:col>7</xdr:col>
      <xdr:colOff>314325</xdr:colOff>
      <xdr:row>47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F466E5-A0FF-4AE2-926C-2C22CF9B78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036.596078703704" createdVersion="8" refreshedVersion="8" minRefreshableVersion="3" recordCount="550" xr:uid="{710881DD-54AF-4B07-8905-8DDE4D783AF5}">
  <cacheSource type="worksheet">
    <worksheetSource name="EDA_Table"/>
  </cacheSource>
  <cacheFields count="10">
    <cacheField name="Name" numFmtId="0">
      <sharedItems/>
    </cacheField>
    <cacheField name="Email" numFmtId="0">
      <sharedItems/>
    </cacheField>
    <cacheField name="Country" numFmtId="0">
      <sharedItems containsBlank="1" count="12">
        <s v="United States"/>
        <m/>
        <s v="France"/>
        <s v="Germany"/>
        <s v="Canada"/>
        <s v="Brazil"/>
        <s v="India"/>
        <s v="Australia"/>
        <s v="United Kingdom"/>
        <s v="Japan"/>
        <s v="Nigeria"/>
        <s v=" "/>
      </sharedItems>
    </cacheField>
    <cacheField name="Session" numFmtId="0">
      <sharedItems containsBlank="1" count="7">
        <s v="Training: Dashboard Design"/>
        <s v=" "/>
        <m/>
        <s v="Keynote: Future of Data"/>
        <s v="Workshop: Excel Mastery"/>
        <s v="Webinar: AI Ethics"/>
        <s v="Panel: Women in Tech"/>
      </sharedItems>
    </cacheField>
    <cacheField name="Arrival Time" numFmtId="0">
      <sharedItems containsSemiMixedTypes="0" containsNonDate="0" containsDate="1" containsString="0" minDate="1899-12-30T00:00:00" maxDate="1899-12-30T23:30:00"/>
    </cacheField>
    <cacheField name="Seat" numFmtId="0">
      <sharedItems/>
    </cacheField>
    <cacheField name="Food Preference" numFmtId="0">
      <sharedItems containsBlank="1"/>
    </cacheField>
    <cacheField name="Role" numFmtId="0">
      <sharedItems count="4">
        <s v="VIP"/>
        <s v="Speaker"/>
        <s v="Sponsor"/>
        <s v="Attendee"/>
      </sharedItems>
    </cacheField>
    <cacheField name="Temp ID" numFmtId="0">
      <sharedItems count="450">
        <s v="Jordan Smithjordan.smith783@example.comUnited StatesTraining: Dashboard Design0.95833333333333310AVegetarianVIP"/>
        <s v="Riley Allenriley.allen285@example.comUnited States 0.52083333333333310B Speaker"/>
        <s v="Morgan Hallmorgan.hall123@example.comTraining: Dashboard Design0.54166666666666710BVegetarianSponsor"/>
        <s v="Jesse Clarkjesse.clark592@example.comFrance 0.312510BKosherVIP"/>
        <s v="Chris Hallchris.hall470@example.comUnited States 0.14583333333333310BNoneSponsor"/>
        <s v="Taylor Clarktaylor.clark735@example.comGermany 0.041666666666666710B Sponsor"/>
        <s v="Taylor Halltaylor.hall935@example.comCanada 0.83333333333333310C Attendee"/>
        <s v="Drew Allendrew.allen56@example.comUnited States0.39583333333333311A Sponsor"/>
        <s v="Morgan Wilsonmorgan.wilson271@example.comKeynote: Future of Data0.16666666666666711AKosherAttendee"/>
        <s v="Alex Clarkalex.clark268@example.comCanadaKeynote: Future of Data0.22916666666666711ANoneSponsor"/>
        <s v="Jamie Clarkjamie.clark442@example.comGermanyWorkshop: Excel Mastery0.7511BVeganVIP"/>
        <s v="Riley Brownriley.brown482@example.comBrazilTraining: Dashboard Design0.41666666666666711CKosherVIP"/>
        <s v="Drew Allendrew.allen187@example.comGermanyTraining: Dashboard Design0.58333333333333311CVIP"/>
        <s v="Jordan Smithjordan.smith391@example.comGermanyKeynote: Future of Data0.187511CSponsor"/>
        <s v="Casey Leecasey.lee206@example.comGermany 0.687511C VIP"/>
        <s v="Riley Johnsonriley.johnson240@example.comCanadaWorkshop: Excel Mastery0.91666666666666711DKosherSponsor"/>
        <s v="Jamie Smithjamie.smith48@example.comCanada011DKosherSponsor"/>
        <s v="Casey Allencasey.allen429@example.comIndia 0.77083333333333311DNoneVIP"/>
        <s v="Morgan Clarkmorgan.clark774@example.comFranceWebinar: AI Ethics0.512AVegetarianSponsor"/>
        <s v="Taylor Smithtaylor.smith755@example.comBrazil 0.7512D VIP"/>
        <s v="Chris Clarkchris.clark783@example.comAustraliaPanel: Women in Tech0.29166666666666713CNoneVIP"/>
        <s v="Casey Hallcasey.hall845@example.comUnited States0.54166666666666713CNoneVIP"/>
        <s v="Chris Walkerchris.walker565@example.comCanadaWorkshop: Excel Mastery0.20833333333333313CSponsor"/>
        <s v="Jesse Johnsonjesse.johnson655@example.comAustralia0.60416666666666713D VIP"/>
        <s v="Jordan Lewisjordan.lewis455@example.comAustraliaKeynote: Future of Data0.62514AHalalSponsor"/>
        <s v="Jordan Brownjordan.brown914@example.comUnited States 0.437514ANoneSponsor"/>
        <s v="Alex Brownalex.brown701@example.comUnited KingdomWebinar: AI Ethics0.64583333333333314B VIP"/>
        <s v="Morgan Clarkmorgan.clark527@example.comCanadaKeynote: Future of Data0.37514B Sponsor"/>
        <s v="Drew Lewisdrew.lewis936@example.comJapanKeynote: Future of Data0.35416666666666714CVIP"/>
        <s v="Riley Allenriley.allen171@example.comBrazilWorkshop: Excel Mastery0.12515AVeganSponsor"/>
        <s v="Jesse Allenjesse.allen407@example.comBrazilKeynote: Future of Data0.60416666666666715CNoneAttendee"/>
        <s v="Jamie Wilsonjamie.wilson129@example.comFranceWorkshop: Excel Mastery0.37515C Attendee"/>
        <s v="Jordan Leejordan.lee280@example.comNigeriaWebinar: AI Ethics0.29166666666666715DHalalAttendee"/>
        <s v="Drew Wilsondrew.wilson671@example.comTraining: Dashboard Design0.45833333333333315DHalalSponsor"/>
        <s v="Riley Johnsonriley.johnson765@example.comBrazil 0.83333333333333315D Attendee"/>
        <s v="Taylor Wilsontaylor.wilson529@example.comGermanyWebinar: AI Ethics0.27083333333333315DSponsor"/>
        <s v="Morgan Lewismorgan.lewis504@example.comUnited StatesWorkshop: Excel Mastery0.083333333333333315DSponsor"/>
        <s v="Jesse Lewisjesse.lewis635@example.comWorkshop: Excel Mastery0.7515DAttendee"/>
        <s v="Alex Brownalex.brown798@example.comAustraliaWorkshop: Excel Mastery0.52083333333333316AKosherAttendee"/>
        <s v="Taylor Halltaylor.hall335@example.comAustraliaWebinar: AI Ethics0.22916666666666716AVegetarianSponsor"/>
        <s v="Casey Hallcasey.hall336@example.comCanadaTraining: Dashboard Design0.62516AHalalAttendee"/>
        <s v="Casey Lewiscasey.lewis191@example.comWebinar: AI Ethics0.10416666666666716AVeganAttendee"/>
        <s v="Jamie Wilsonjamie.wilson687@example.comUnited Kingdom0.41666666666666716BKosherSpeaker"/>
        <s v="Morgan Wilsonmorgan.wilson683@example.comCanadaPanel: Women in Tech0.79166666666666716B Attendee"/>
        <s v="Casey Allencasey.allen200@example.com 0.64583333333333316BAttendee"/>
        <s v="Riley Walkerriley.walker901@example.comUnited KingdomTraining: Dashboard Design0.10416666666666716BNoneAttendee"/>
        <s v="Morgan Leemorgan.lee562@example.com Webinar: AI Ethics0.14583333333333316CVeganAttendee"/>
        <s v="Jesse Brownjesse.brown960@example.comNigeriaWorkshop: Excel Mastery0.95833333333333316CHalalSponsor"/>
        <s v="Jordan Allenjordan.allen748@example.comAustraliaPanel: Women in Tech0.41666666666666716CSponsor"/>
        <s v="Drew Allendrew.allen522@example.comIndia0.37516DKosherSponsor"/>
        <s v="Alex Clarkalex.clark809@example.comIndiaWebinar: AI Ethics017AVegetarianAttendee"/>
        <s v="Drew Lewisdrew.lewis696@example.comJapanPanel: Women in Tech0.60416666666666717AVeganAttendee"/>
        <s v="Taylor Browntaylor.brown842@example.com 0.58333333333333317BVegetarianSponsor"/>
        <s v="Morgan Clarkmorgan.clark217@example.comAustralia0.62517BVeganSponsor"/>
        <s v="Riley Clarkriley.clark42@example.comIndia 0.29166666666666717CVegetarianSponsor"/>
        <s v="Taylor Browntaylor.brown941@example.comCanadaWebinar: AI Ethics0.16666666666666717CHalalAttendee"/>
        <s v="Casey Wilsoncasey.wilson458@example.comUnited KingdomPanel: Women in Tech0.7517CAttendee"/>
        <s v="Jesse Allenjesse.allen777@example.comCanadaKeynote: Future of Data0.22916666666666717DSponsor"/>
        <s v="Riley Hallriley.hall367@example.comFranceWorkshop: Excel Mastery0.083333333333333318A Sponsor"/>
        <s v="Taylor Lewistaylor.lewis671@example.comCanada 0.812518AAttendee"/>
        <s v="Alex Hallalex.hall904@example.comGermanyTraining: Dashboard Design0.16666666666666718BVegetarianSponsor"/>
        <s v="Taylor Lewistaylor.lewis26@example.comGermany0.54166666666666718B Attendee"/>
        <s v="Chris Johnsonchris.johnson587@example.comUnited Kingdom 0.14583333333333318BSponsor"/>
        <s v="Jordan Halljordan.hall927@example.comIndiaWebinar: AI Ethics0.97916666666666718CHalalAttendee"/>
        <s v="Chris Allenchris.allen232@example.comAustralia 0.937518CHalalAttendee"/>
        <s v="Jesse Allenjesse.allen904@example.comBrazilWebinar: AI Ethics0.54166666666666718DHalalSponsor"/>
        <s v="Morgan Brownmorgan.brown473@example.comCanada0.35416666666666718D Attendee"/>
        <s v="Jesse Allenjesse.allen87@example.comUnited StatesWorkshop: Excel Mastery0.41666666666666718DAttendee"/>
        <s v="Taylor Allentaylor.allen873@example.comUnited States 0.83333333333333319AHalalSponsor"/>
        <s v="Morgan Walkermorgan.walker284@example.com Webinar: AI Ethics0.12519BHalalAttendee"/>
        <s v="Drew Allendrew.allen806@example.comBrazilWorkshop: Excel Mastery0.312519BVegetarianSponsor"/>
        <s v="Riley Johnsonriley.johnson434@example.com 0.16666666666666719BVeganAttendee"/>
        <s v="Alex Lewisalex.lewis450@example.comIndiaWebinar: AI Ethics0.041666666666666719B Attendee"/>
        <s v="Casey Johnsoncasey.johnson9@example.comFrance 0.437519BNoneAttendee"/>
        <s v="Jesse Lewisjesse.lewis677@example.comBrazil019CKosherSponsor"/>
        <s v="Jordan Lewisjordan.lewis363@example.com 0.95833333333333319CHalalAttendee"/>
        <s v="Riley Walkerriley.walker779@example.comUnited StatesWorkshop: Excel Mastery0.70833333333333319DAttendee"/>
        <s v="Jamie Lewisjamie.lewis475@example.comWebinar: AI Ethics0.7519DVeganSponsor"/>
        <s v="Alex Brownalex.brown363@example.comJapanKeynote: Future of Data0.519DKosherAttendee"/>
        <s v="Alex Hallalex.hall509@example.comIndia0.4166666666666671ASponsor"/>
        <s v="Jesse Leejesse.lee580@example.comFrancePanel: Women in Tech0.5416666666666671CVegetarianAttendee"/>
        <s v="Drew Johnsondrew.johnson788@example.comPanel: Women in Tech0.7291666666666671CNoneSpeaker"/>
        <s v="Chris Wilsonchris.wilson739@example.comTraining: Dashboard Design0.8333333333333331DHalalAttendee"/>
        <s v="Morgan Leemorgan.lee417@example.comNigeriaTraining: Dashboard Design0.7916666666666671DHalalAttendee"/>
        <s v="Morgan Johnsonmorgan.johnson969@example.comIndia 0.7291666666666671DAttendee"/>
        <s v="Riley Brownriley.brown30@example.comWebinar: AI Ethics0.51DVeganAttendee"/>
        <s v="Jordan Clarkjordan.clark211@example.comIndiaTraining: Dashboard Design0.89583333333333320BVeganAttendee"/>
        <s v="Drew Wilsondrew.wilson386@example.comAustraliaTraining: Dashboard Design0.22916666666666720C Attendee"/>
        <s v="Jesse Lewisjesse.lewis824@example.comBrazilTraining: Dashboard Design0.54166666666666720CNoneAttendee"/>
        <s v="Jesse Johnsonjesse.johnson771@example.com  0.29166666666666720D Attendee"/>
        <s v="Chris Allenchris.allen895@example.comGermanyPanel: Women in Tech0.41666666666666720DVegetarianAttendee"/>
        <s v="Drew Leedrew.lee970@example.comPanel: Women in Tech0.687520D Attendee"/>
        <s v="Riley Johnsonriley.johnson679@example.comAustralia 0.83333333333333321A Attendee"/>
        <s v="Jordan Brownjordan.brown455@example.comGermany021AHalalAttendee"/>
        <s v="Morgan Hallmorgan.hall48@example.comAustraliaKeynote: Future of Data0.39583333333333321ANoneAttendee"/>
        <s v="Jordan Wilsonjordan.wilson512@example.comWebinar: AI Ethics0.37521BKosherAttendee"/>
        <s v="Casey Lewiscasey.lewis703@example.comCanadaTraining: Dashboard Design0.083333333333333321BVeganAttendee"/>
        <s v="Chris Clarkchris.clark526@example.comNigeriaTraining: Dashboard Design0.020833333333333321BHalalAttendee"/>
        <s v="Jamie Brownjamie.brown738@example.comUnited KingdomWebinar: AI Ethics0.89583333333333321DAttendee"/>
        <s v="Jesse Halljesse.hall978@example.com Keynote: Future of Data0.7521DNoneAttendee"/>
        <s v="Taylor Leetaylor.lee371@example.comFrance0.95833333333333322AKosherAttendee"/>
        <s v="Morgan Smithmorgan.smith73@example.com 0.16666666666666722ANoneAttendee"/>
        <s v="Riley Walkerriley.walker327@example.comCanadaPanel: Women in Tech0.522AAttendee"/>
        <s v="Morgan Brownmorgan.brown286@example.comNigeriaWorkshop: Excel Mastery0.77083333333333322AKosherAttendee"/>
        <s v="Jordan Smithjordan.smith306@example.comUnited KingdomTraining: Dashboard Design0.54166666666666722DHalalAttendee"/>
        <s v="Jordan Halljordan.hall739@example.comIndiaTraining: Dashboard Design0.312522DKosherAttendee"/>
        <s v="Riley Johnsonriley.johnson347@example.comFrance0.83333333333333322DHalalAttendee"/>
        <s v="Riley Smithriley.smith651@example.comAustraliaPanel: Women in Tech0.95833333333333323AHalalAttendee"/>
        <s v="Riley Allenriley.allen577@example.comCanadaKeynote: Future of Data0.89583333333333323AVegetarianAttendee"/>
        <s v="Riley Brownriley.brown481@example.comNigeria0.33333333333333323AHalalAttendee"/>
        <s v="Taylor Walkertaylor.walker296@example.comGermanyWorkshop: Excel Mastery0.58333333333333323AKosherAttendee"/>
        <s v="Jamie Walkerjamie.walker609@example.comNigeriaWorkshop: Excel Mastery0.77083333333333323B Attendee"/>
        <s v="Casey Allencasey.allen76@example.comGermanyPanel: Women in Tech0.35416666666666723B Attendee"/>
        <s v="Jordan Allenjordan.allen520@example.comIndiaWorkshop: Excel Mastery0.29166666666666723CVeganAttendee"/>
        <s v="Morgan Brownmorgan.brown791@example.comFrance0.16666666666666723C Attendee"/>
        <s v="Jamie Wilsonjamie.wilson342@example.comGermanyKeynote: Future of Data0.37523CAttendee"/>
        <s v="Alex Wilsonalex.wilson853@example.comAustraliaTraining: Dashboard Design0.937523C Attendee"/>
        <s v="Jesse Clarkjesse.clark485@example.comJapanWebinar: AI Ethics0.562523DHalalAttendee"/>
        <s v="Casey Walkercasey.walker622@example.comNigeriaTraining: Dashboard Design0.2523DVeganAttendee"/>
        <s v="Riley Johnsonriley.johnson232@example.comUnited KingdomWebinar: AI Ethics0.62523D Attendee"/>
        <s v="Chris Johnsonchris.johnson457@example.comFrance0.22916666666666723DVeganAttendee"/>
        <s v="Jordan Leejordan.lee357@example.comUnited KingdomPanel: Women in Tech0.27083333333333323DVeganAttendee"/>
        <s v="Chris Leechris.lee860@example.comUnited States0.2523DVeganAttendee"/>
        <s v="Alex Lewisalex.lewis586@example.comJapan 0.16666666666666724AKosherAttendee"/>
        <s v="Taylor Halltaylor.hall37@example.comBrazilWebinar: AI Ethics0.79166666666666724AHalalAttendee"/>
        <s v="Jesse Brownjesse.brown689@example.comGermanyPanel: Women in Tech0.687524BNoneAttendee"/>
        <s v="Morgan Johnsonmorgan.johnson82@example.comIndia 0.812524BHalalSpeaker"/>
        <s v="Casey Leecasey.lee167@example.comGermany 0.52083333333333324BKosherAttendee"/>
        <s v="Taylor Allentaylor.allen695@example.comNigeriaKeynote: Future of Data0.083333333333333324CKosherAttendee"/>
        <s v="Taylor Leetaylor.lee337@example.comBrazilTraining: Dashboard Design0.95833333333333324CVegetarianAttendee"/>
        <s v="Alex Wilsonalex.wilson293@example.comBrazil 0.97916666666666724DKosherAttendee"/>
        <s v="Alex Johnsonalex.johnson505@example.comCanadaKeynote: Future of Data0.87524DNoneAttendee"/>
        <s v="Casey Lewiscasey.lewis463@example.comCanada0.312524DKosherAttendee"/>
        <s v="Casey Lewiscasey.lewis462@example.comTraining: Dashboard Design0.41666666666666725ANoneAttendee"/>
        <s v="Casey Hallcasey.hall327@example.com Training: Dashboard Design0.187525B Attendee"/>
        <s v="Jesse Lewisjesse.lewis354@example.com  0.54166666666666725BHalalAttendee"/>
        <s v="Alex Wilsonalex.wilson232@example.com Panel: Women in Tech0.16666666666666725CVegetarianAttendee"/>
        <s v="Morgan Walkermorgan.walker450@example.comJapanWebinar: AI Ethics0.27083333333333325D Attendee"/>
        <s v="Riley Smithriley.smith294@example.comAustraliaWorkshop: Excel Mastery0.97916666666666725D Attendee"/>
        <s v="Riley Clarkriley.clark247@example.comBrazilPanel: Women in Tech0.37525D Attendee"/>
        <s v="Chris Allenchris.allen499@example.comJapan0.041666666666666726AVeganAttendee"/>
        <s v="Jamie Lewisjamie.lewis742@example.comGermany 0.16666666666666726AVeganAttendee"/>
        <s v="Jamie Smithjamie.smith567@example.comJapanWorkshop: Excel Mastery0.041666666666666726AHalalAttendee"/>
        <s v="Jamie Walkerjamie.walker998@example.com Keynote: Future of Data0.37526ANoneAttendee"/>
        <s v="Drew Clarkdrew.clark841@example.comUnited StatesWebinar: AI Ethics0.10416666666666726B Attendee"/>
        <s v="Jesse Smithjesse.smith573@example.comNigeria0.95833333333333326C Attendee"/>
        <s v="Casey Browncasey.brown250@example.comAustraliaWebinar: AI Ethics0.66666666666666726CAttendee"/>
        <s v="Riley Clarkriley.clark574@example.com Panel: Women in Tech0.14583333333333326C Attendee"/>
        <s v="Jesse Smithjesse.smith446@example.comWorkshop: Excel Mastery0.22916666666666726CHalalAttendee"/>
        <s v="Casey Hallcasey.hall51@example.comPanel: Women in Tech0.20833333333333326DNoneAttendee"/>
        <s v="Taylor Walkertaylor.walker805@example.comCanadaWorkshop: Excel Mastery0.85416666666666726DKosherAttendee"/>
        <s v="Jordan Lewisjordan.lewis221@example.comNigeria 0.52083333333333327AAttendee"/>
        <s v="Drew Walkerdrew.walker247@example.comIndiaPanel: Women in Tech0.33333333333333327BKosherAttendee"/>
        <s v="Chris Walkerchris.walker422@example.comJapanTraining: Dashboard Design0.60416666666666727BAttendee"/>
        <s v="Jordan Lewisjordan.lewis410@example.comNigeriaPanel: Women in Tech0.937527BVeganAttendee"/>
        <s v="Jordan Clarkjordan.clark263@example.comCanada0.562527BKosherAttendee"/>
        <s v="Jordan Brownjordan.brown510@example.comIndiaWebinar: AI Ethics0.70833333333333327CVegetarianAttendee"/>
        <s v="Alex Walkeralex.walker322@example.comAustraliaWorkshop: Excel Mastery0.91666666666666727D Attendee"/>
        <s v="Taylor Wilsontaylor.wilson835@example.comAustraliaWebinar: AI Ethics0.562527DKosherAttendee"/>
        <s v="Jamie Johnsonjamie.johnson747@example.comAustraliaWebinar: AI Ethics0.687527D Attendee"/>
        <s v="Riley Allenriley.allen585@example.com0.89583333333333328ANoneAttendee"/>
        <s v="Jordan Clarkjordan.clark609@example.comFranceTraining: Dashboard Design0.29166666666666728BVeganAttendee"/>
        <s v="Taylor Wilsontaylor.wilson828@example.comIndiaWorkshop: Excel Mastery0.29166666666666728B Attendee"/>
        <s v="Casey Walkercasey.walker109@example.comAustraliaPanel: Women in Tech0.91666666666666728BAttendee"/>
        <s v="Alex Wilsonalex.wilson259@example.comFrance 0.937528D Attendee"/>
        <s v="Taylor Browntaylor.brown62@example.comGermany 0.812529AKosherAttendee"/>
        <s v="Riley Wilsonriley.wilson126@example.comGermany 0.33333333333333329A Attendee"/>
        <s v="Jesse Smithjesse.smith620@example.comGermany0.47916666666666729ANoneAttendee"/>
        <s v="Jordan Brownjordan.brown2@example.comIndiaTraining: Dashboard Design0.12529AVeganAttendee"/>
        <s v="Casey Allencasey.allen785@example.comUnited StatesWorkshop: Excel Mastery0.083333333333333329AVegetarianAttendee"/>
        <s v="Jordan Smithjordan.smith413@example.com Panel: Women in Tech0.66666666666666729BKosherAttendee"/>
        <s v="Taylor Walkertaylor.walker106@example.comUnited StatesWebinar: AI Ethics0.64583333333333329CVegetarianAttendee"/>
        <s v="Morgan Brownmorgan.brown471@example.comNigeria 0.10416666666666729CVeganAttendee"/>
        <s v="Morgan Lewismorgan.lewis284@example.comBrazilWorkshop: Excel Mastery0.64583333333333329C Attendee"/>
        <s v="Taylor Leetaylor.lee656@example.comTraining: Dashboard Design029DKosherAttendee"/>
        <s v="Drew Walkerdrew.walker383@example.comUnited StatesWebinar: AI Ethics0.8958333333333332ANoneAttendee"/>
        <s v="Riley Wilsonriley.wilson751@example.comJapan 0.1252BNoneAttendee"/>
        <s v="Morgan Leemorgan.lee971@example.comAustraliaKeynote: Future of Data0.6666666666666672BVeganAttendee"/>
        <s v="Taylor Halltaylor.hall376@example.comAustraliaPanel: Women in Tech0.2916666666666672BKosherAttendee"/>
        <s v="Jamie Walkerjamie.walker922@example.comJapanTraining: Dashboard Design0.6666666666666672BNoneAttendee"/>
        <s v="Jordan Johnsonjordan.johnson844@example.com0.252BVegetarianAttendee"/>
        <s v="Casey Clarkcasey.clark708@example.comIndiaKeynote: Future of Data0.3541666666666672C Attendee"/>
        <s v="Drew Lewisdrew.lewis13@example.comUnited StatesWebinar: AI Ethics0.7291666666666672D Attendee"/>
        <s v="Taylor Walkertaylor.walker713@example.comNigeria0.12530AHalalAttendee"/>
        <s v="Riley Allenriley.allen482@example.comUnited KingdomKeynote: Future of Data0.22916666666666730AAttendee"/>
        <s v="Morgan Walkermorgan.walker829@example.comGermanyKeynote: Future of Data0.12530AVegetarianAttendee"/>
        <s v="Casey Johnsoncasey.johnson465@example.comCanada0.64583333333333330BHalalAttendee"/>
        <s v="Riley Smithriley.smith378@example.comIndiaPanel: Women in Tech0.95833333333333330CNoneAttendee"/>
        <s v="Jesse Wilsonjesse.wilson407@example.comIndiaWebinar: AI Ethics0.39583333333333330CHalalAttendee"/>
        <s v="Casey Leecasey.lee888@example.comNigeriaWorkshop: Excel Mastery0.72916666666666730CHalalAttendee"/>
        <s v="Drew Clarkdrew.clark93@example.comAustraliaKeynote: Future of Data0.70833333333333330CAttendee"/>
        <s v="Jordan Lewisjordan.lewis894@example.comUnited States 0.29166666666666730CHalalAttendee"/>
        <s v="Drew Smithdrew.smith312@example.comUnited KingdomWorkshop: Excel Mastery0.77083333333333330DKosherAttendee"/>
        <s v="Taylor Johnsontaylor.johnson640@example.comWebinar: AI Ethics0.52083333333333330DVeganAttendee"/>
        <s v="Drew Clarkdrew.clark575@example.comWebinar: AI Ethics0.37531AHalalAttendee"/>
        <s v="Jamie Halljamie.hall849@example.comJapanWebinar: AI Ethics0.937531AHalalAttendee"/>
        <s v="Alex Hallalex.hall232@example.comWorkshop: Excel Mastery0.60416666666666731AAttendee"/>
        <s v="Riley Leeriley.lee65@example.comGermanyTraining: Dashboard Design0.562531AHalalAttendee"/>
        <s v="Jordan Smithjordan.smith773@example.comUnited StatesWorkshop: Excel Mastery0.54166666666666731ANoneAttendee"/>
        <s v="Alex Walkeralex.walker911@example.comWebinar: AI Ethics0.85416666666666731B Attendee"/>
        <s v="Taylor Smithtaylor.smith988@example.comJapanWorkshop: Excel Mastery0.85416666666666731B Attendee"/>
        <s v="Morgan Johnsonmorgan.johnson686@example.comNigeriaWorkshop: Excel Mastery0.52083333333333331DVegetarianAttendee"/>
        <s v="Casey Lewiscasey.lewis552@example.com 0.83333333333333332AKosherAttendee"/>
        <s v="Jesse Lewisjesse.lewis798@example.comBrazilWebinar: AI Ethics0.95833333333333332AKosherAttendee"/>
        <s v="Drew Johnsondrew.johnson26@example.comJapan 0.687532AHalalAttendee"/>
        <s v="Alex Wilsonalex.wilson430@example.com 0.083333333333333332AAttendee"/>
        <s v="Casey Lewiscasey.lewis611@example.comGermanyWebinar: AI Ethics0.54166666666666732BNoneAttendee"/>
        <s v="Drew Wilsondrew.wilson646@example.comJapan 0.812532CNoneAttendee"/>
        <s v="Alex Clarkalex.clark971@example.comFranceWebinar: AI Ethics0.41666666666666732CVegetarianAttendee"/>
        <s v="Taylor Wilsontaylor.wilson338@example.comIndiaTraining: Dashboard Design0.85416666666666732DKosherAttendee"/>
        <s v="Chris Lewischris.lewis997@example.comIndiaWebinar: AI Ethics0.47916666666666732DNoneAttendee"/>
        <s v="Alex Clarkalex.clark411@example.comUnited KingdomKeynote: Future of Data0.937532DSpeaker"/>
        <s v="Alex Allenalex.allen65@example.com Webinar: AI Ethics0.533AHalalAttendee"/>
        <s v="Casey Hallcasey.hall117@example.com Keynote: Future of Data0.60416666666666733AKosherAttendee"/>
        <s v="Riley Walkerriley.walker250@example.comNigeriaWebinar: AI Ethics0.29166666666666733B Attendee"/>
        <s v="Casey Browncasey.brown656@example.comJapanWebinar: AI Ethics0.70833333333333333B Attendee"/>
        <s v="Taylor Smithtaylor.smith462@example.comCanada 0.91666666666666733BVeganAttendee"/>
        <s v="Jordan Smithjordan.smith344@example.comAustraliaPanel: Women in Tech0.70833333333333333CVeganAttendee"/>
        <s v="Morgan Clarkmorgan.clark695@example.comFranceTraining: Dashboard Design0.39583333333333333DVegetarianAttendee"/>
        <s v="Taylor Clarktaylor.clark174@example.comGermany0.20833333333333334A Attendee"/>
        <s v="Jesse Lewisjesse.lewis192@example.com0.89583333333333334AKosherAttendee"/>
        <s v="Chris Clarkchris.clark883@example.comUnited KingdomPanel: Women in Tech0.2534BVeganAttendee"/>
        <s v="Jesse Halljesse.hall63@example.com Panel: Women in Tech0.062534BVeganAttendee"/>
        <s v="Jesse Johnsonjesse.johnson503@example.comFranceWebinar: AI Ethics0.10416666666666734BVegetarianAttendee"/>
        <s v="Drew Walkerdrew.walker776@example.comJapan 0.16666666666666734CVeganAttendee"/>
        <s v="Jesse Brownjesse.brown64@example.comJapanWebinar: AI Ethics0.91666666666666734DVeganAttendee"/>
        <s v="Drew Leedrew.lee627@example.comCanadaKeynote: Future of Data0.52083333333333334D Attendee"/>
        <s v="Alex Leealex.lee532@example.comIndiaWebinar: AI Ethics0.89583333333333334DHalalAttendee"/>
        <s v="Taylor Johnsontaylor.johnson474@example.comIndia 0.83333333333333335AVeganAttendee"/>
        <s v="Jordan Smithjordan.smith760@example.comUnited KingdomWorkshop: Excel Mastery0.12535ANoneSpeaker"/>
        <s v="Alex Wilsonalex.wilson593@example.comCanadaKeynote: Future of Data0.45833333333333335AVeganAttendee"/>
        <s v="Riley Brownriley.brown731@example.comUnited KingdomWorkshop: Excel Mastery0.437535AVegetarianAttendee"/>
        <s v="Casey Browncasey.brown460@example.comFranceTraining: Dashboard Design0.72916666666666735A Attendee"/>
        <s v="Alex Wilsonalex.wilson211@example.comUnited Kingdom 0.41666666666666735BHalalAttendee"/>
        <s v="Casey Johnsoncasey.johnson837@example.comAustraliaPanel: Women in Tech0.41666666666666735BAttendee"/>
        <s v="Taylor Browntaylor.brown579@example.comUnited States 0.70833333333333335CVegetarianAttendee"/>
        <s v="Casey Browncasey.brown307@example.comGermanyWebinar: AI Ethics0.437535CKosherAttendee"/>
        <s v="Jamie Wilsonjamie.wilson455@example.comNigeriaWorkshop: Excel Mastery0.14583333333333335CVeganAttendee"/>
        <s v="Riley Allenriley.allen761@example.comNigeriaWebinar: AI Ethics0.91666666666666735CNoneAttendee"/>
        <s v="Jesse Wilsonjesse.wilson567@example.comUnited States 0.687535DNoneAttendee"/>
        <s v="Casey Lewiscasey.lewis83@example.com0.97916666666666735DNoneAttendee"/>
        <s v="Taylor Wilsontaylor.wilson855@example.comUnited States 0.22916666666666735DNoneAttendee"/>
        <s v="Taylor Wilsontaylor.wilson393@example.com Workshop: Excel Mastery0.60416666666666735DKosherAttendee"/>
        <s v="Morgan Smithmorgan.smith811@example.comIndiaKeynote: Future of Data0.39583333333333335DHalalAttendee"/>
        <s v="Morgan Clarkmorgan.clark971@example.comJapanPanel: Women in Tech0.20833333333333336CVegetarianAttendee"/>
        <s v="Taylor Allentaylor.allen265@example.comBrazil0.10416666666666736C Attendee"/>
        <s v="Jamie Halljamie.hall230@example.comCanadaWorkshop: Excel Mastery0.687536CKosherAttendee"/>
        <s v="Taylor Johnsontaylor.johnson15@example.com Webinar: AI Ethics0.20833333333333336CAttendee"/>
        <s v="Jamie Lewisjamie.lewis47@example.comFrance 0.536DHalalAttendee"/>
        <s v="Chris Walkerchris.walker369@example.comUnited KingdomKeynote: Future of Data0.58333333333333336DVeganAttendee"/>
        <s v="Taylor Walkertaylor.walker684@example.comJapanWebinar: AI Ethics0.60416666666666736DVegetarianAttendee"/>
        <s v="Jesse Allenjesse.allen676@example.comNigeria 0.85416666666666736DKosherAttendee"/>
        <s v="Drew Browndrew.brown872@example.comGermanyKeynote: Future of Data0.95833333333333337BNoneAttendee"/>
        <s v="Riley Clarkriley.clark39@example.comCanadaKeynote: Future of Data0.14583333333333337BHalalAttendee"/>
        <s v="Jesse Leejesse.lee776@example.comJapanWorkshop: Excel Mastery0.20833333333333337BAttendee"/>
        <s v="Morgan Walkermorgan.walker322@example.comGermanyTraining: Dashboard Design0.39583333333333337BHalalAttendee"/>
        <s v="Taylor Wilsontaylor.wilson150@example.com Panel: Women in Tech0.97916666666666737CAttendee"/>
        <s v="Casey Wilsoncasey.wilson507@example.comUnited KingdomPanel: Women in Tech0.41666666666666737D Attendee"/>
        <s v="Taylor Smithtaylor.smith966@example.comGermanyKeynote: Future of Data0.77083333333333337DVegetarianAttendee"/>
        <s v="Alex Walkeralex.walker944@example.comCanada 0.77083333333333337DAttendee"/>
        <s v="Jordan Halljordan.hall882@example.comBrazilKeynote: Future of Data0.937538AHalalAttendee"/>
        <s v="Jamie Walkerjamie.walker259@example.comIndiaTraining: Dashboard Design0.89583333333333338AVeganAttendee"/>
        <s v="Chris Lewischris.lewis690@example.comFranceWebinar: AI Ethics0.083333333333333338BKosherAttendee"/>
        <s v="Jordan Brownjordan.brown96@example.comAustraliaKeynote: Future of Data0.16666666666666738CAttendee"/>
        <s v="Riley Lewisriley.lewis396@example.com 0.83333333333333338C Attendee"/>
        <s v="Alex Leealex.lee482@example.comJapan0.33333333333333338DAttendee"/>
        <s v="Riley Leeriley.lee272@example.comGermanyWorkshop: Excel Mastery0.97916666666666738DHalalSpeaker"/>
        <s v="Chris Smithchris.smith339@example.comNigeria0.041666666666666739A Attendee"/>
        <s v="Chris Lewischris.lewis966@example.comUnited KingdomWebinar: AI Ethics0.58333333333333339AKosherAttendee"/>
        <s v="Jesse Leejesse.lee804@example.comIndia 0.062539BHalalAttendee"/>
        <s v="Riley Smithriley.smith106@example.comAustraliaTraining: Dashboard Design0.37539CNoneAttendee"/>
        <s v="Jamie Leejamie.lee500@example.comIndiaPanel: Women in Tech0.437539CNoneAttendee"/>
        <s v="Jamie Wilsonjamie.wilson469@example.comCanadaPanel: Women in Tech0.687539DNoneAttendee"/>
        <s v="Riley Allenriley.allen624@example.comNigeriaKeynote: Future of Data0.72916666666666739DVeganAttendee"/>
        <s v="Jamie Clarkjamie.clark572@example.comBrazil 0.18753AVegetarianAttendee"/>
        <s v="Alex Allenalex.allen492@example.comGermanyWebinar: AI Ethics0.1666666666666673AVegetarianAttendee"/>
        <s v="Chris Hallchris.hall501@example.comUnited Kingdom 0.1041666666666673AHalalAttendee"/>
        <s v="Jamie Wilsonjamie.wilson931@example.comGermanyPanel: Women in Tech0.5833333333333333BAttendee"/>
        <s v="Riley Walkerriley.walker216@example.comFranceWorkshop: Excel Mastery03BNoneAttendee"/>
        <s v="Alex Wilsonalex.wilson531@example.comBrazilTraining: Dashboard Design0.5833333333333333CVeganAttendee"/>
        <s v="Jamie Wilsonjamie.wilson715@example.comIndiaWebinar: AI Ethics0.31253CAttendee"/>
        <s v="Alex Clarkalex.clark954@example.comCanada 0.1666666666666673C Attendee"/>
        <s v="Drew Lewisdrew.lewis190@example.comBrazilTraining: Dashboard Design0.2291666666666673CKosherAttendee"/>
        <s v="Alex Walkeralex.walker560@example.comIndiaTraining: Dashboard Design0.53DHalalAttendee"/>
        <s v="Jamie Brownjamie.brown95@example.comAustraliaKeynote: Future of Data0.4791666666666673DNoneSpeaker"/>
        <s v="Alex Wilsonalex.wilson48@example.comNigeriaPanel: Women in Tech0.1666666666666673DVegetarianAttendee"/>
        <s v="Casey Browncasey.brown679@example.comJapanPanel: Women in Tech0.29166666666666740AHalalAttendee"/>
        <s v="Drew Lewisdrew.lewis462@example.comNigeriaPanel: Women in Tech0.37540A Attendee"/>
        <s v="Chris Wilsonchris.wilson826@example.comIndiaWorkshop: Excel Mastery0.041666666666666740AKosherAttendee"/>
        <s v="Jamie Halljamie.hall609@example.comKeynote: Future of Data0.687540ANoneAttendee"/>
        <s v="Taylor Walkertaylor.walker144@example.com 0.14583333333333340BVegetarianAttendee"/>
        <s v="Taylor Allentaylor.allen972@example.comUnited KingdomKeynote: Future of Data0.10416666666666740B Attendee"/>
        <s v="Chris Brownchris.brown520@example.comJapan 0.47916666666666740BNoneAttendee"/>
        <s v="Riley Smithriley.smith93@example.comUnited StatesWorkshop: Excel Mastery0.562540B Attendee"/>
        <s v="Alex Allenalex.allen401@example.comFranceKeynote: Future of Data0.437540BAttendee"/>
        <s v="Morgan Hallmorgan.hall278@example.comJapan0.16666666666666740BVegetarianAttendee"/>
        <s v="Jamie Walkerjamie.walker532@example.comNigeriaWorkshop: Excel Mastery0.77083333333333340CNoneAttendee"/>
        <s v="Chris Allenchris.allen391@example.comPanel: Women in Tech0.95833333333333340CNoneAttendee"/>
        <s v="Chris Allenchris.allen547@example.comCanadaWebinar: AI Ethics0.91666666666666740C Attendee"/>
        <s v="Drew Allendrew.allen248@example.com Workshop: Excel Mastery0.54166666666666740CVegetarianAttendee"/>
        <s v="Chris Hallchris.hall131@example.comIndiaTraining: Dashboard Design0.87540CKosherAttendee"/>
        <s v="Chris Allenchris.allen72@example.comIndiaPanel: Women in Tech0.60416666666666740CAttendee"/>
        <s v="Jamie Brownjamie.brown450@example.comCanada 0.187540DVegetarianAttendee"/>
        <s v="Riley Walkerriley.walker39@example.comUnited StatesPanel: Women in Tech0.083333333333333340DKosherAttendee"/>
        <s v="Taylor Walkertaylor.walker935@example.comJapanPanel: Women in Tech0.89583333333333340DVegetarianAttendee"/>
        <s v="Alex Johnsonalex.johnson964@example.comNigeriaKeynote: Future of Data0.812541AVegetarianAttendee"/>
        <s v="Jamie Wilsonjamie.wilson652@example.comIndiaWebinar: AI Ethics0.87541AAttendee"/>
        <s v="Riley Walkerriley.walker266@example.comIndia 0.687541BHalalAttendee"/>
        <s v="Taylor Halltaylor.hall226@example.comGermany0.72916666666666741BHalalAttendee"/>
        <s v="Riley Walkerriley.walker773@example.comFrance 0.89583333333333341CVegetarianAttendee"/>
        <s v="Casey Lewiscasey.lewis755@example.comUnited StatesWebinar: AI Ethics0.2541DAttendee"/>
        <s v="Morgan Smithmorgan.smith945@example.comUnited States 0.687541DKosherAttendee"/>
        <s v="Jamie Smithjamie.smith385@example.comPanel: Women in Tech0.41666666666666742AVeganAttendee"/>
        <s v="Drew Johnsondrew.johnson855@example.com Panel: Women in Tech0.812542ANoneAttendee"/>
        <s v="Casey Johnsoncasey.johnson195@example.comCanada 0.083333333333333342AVeganAttendee"/>
        <s v="Taylor Wilsontaylor.wilson106@example.comGermanyPanel: Women in Tech0.12542AVegetarianAttendee"/>
        <s v="Morgan Johnsonmorgan.johnson807@example.comWebinar: AI Ethics0.29166666666666742BHalalAttendee"/>
        <s v="Chris Brownchris.brown292@example.comUnited StatesTraining: Dashboard Design0.12542BAttendee"/>
        <s v="Jordan Walkerjordan.walker103@example.comJapanTraining: Dashboard Design0.542BVeganAttendee"/>
        <s v="Jamie Brownjamie.brown427@example.comFrancePanel: Women in Tech0.937542BAttendee"/>
        <s v="Chris Clarkchris.clark140@example.comGermany0.85416666666666742CVegetarianAttendee"/>
        <s v="Drew Walkerdrew.walker280@example.comIndia 0.2542CAttendee"/>
        <s v="Jesse Brownjesse.brown318@example.comJapanTraining: Dashboard Design0.16666666666666742DNoneAttendee"/>
        <s v="Alex Johnsonalex.johnson582@example.comFranceKeynote: Future of Data0.39583333333333342DVegetarianAttendee"/>
        <s v="Drew Allendrew.allen98@example.comAustralia0.35416666666666742DVegetarianAttendee"/>
        <s v="Chris Allenchris.allen89@example.comUnited Kingdom 0.52083333333333343AKosherAttendee"/>
        <s v="Jordan Wilsonjordan.wilson744@example.comFranceTraining: Dashboard Design0.45833333333333343BVeganAttendee"/>
        <s v="Riley Hallriley.hall523@example.comCanadaTraining: Dashboard Design0.66666666666666743B Attendee"/>
        <s v="Riley Smithriley.smith65@example.comUnited Kingdom043CNoneAttendee"/>
        <s v="Jamie Johnsonjamie.johnson162@example.comNigeria 0.79166666666666743CAttendee"/>
        <s v="Jordan Wilsonjordan.wilson567@example.comFranceWebinar: AI Ethics0.91666666666666743CVegetarianAttendee"/>
        <s v="Chris Brownchris.brown485@example.comCanadaPanel: Women in Tech0.64583333333333343CVeganAttendee"/>
        <s v="Alex Lewisalex.lewis2@example.comJapan 0.77083333333333343CNoneAttendee"/>
        <s v="Jesse Smithjesse.smith635@example.comCanadaTraining: Dashboard Design0.33333333333333343CVegetarianAttendee"/>
        <s v="Jordan Lewisjordan.lewis391@example.comFranceTraining: Dashboard Design0.70833333333333344ASpeaker"/>
        <s v="Morgan Johnsonmorgan.johnson378@example.comNigeriaWebinar: AI Ethics0.83333333333333344AVegetarianAttendee"/>
        <s v="Drew Wilsondrew.wilson206@example.comIndiaWebinar: AI Ethics0.89583333333333344BAttendee"/>
        <s v="Jamie Allenjamie.allen257@example.comUnited StatesKeynote: Future of Data0.45833333333333344CNoneAttendee"/>
        <s v="Morgan Smithmorgan.smith684@example.comCanadaTraining: Dashboard Design0.22916666666666744CAttendee"/>
        <s v="Casey Allencasey.allen117@example.comBrazilPanel: Women in Tech0.79166666666666744CNoneAttendee"/>
        <s v="Morgan Leemorgan.lee522@example.comNigeriaKeynote: Future of Data0.083333333333333344DNoneSpeaker"/>
        <s v="Jesse Lewisjesse.lewis842@example.com Training: Dashboard Design0.020833333333333344DVegetarianAttendee"/>
        <s v="Casey Browncasey.brown321@example.comAustraliaPanel: Women in Tech0.45833333333333344DVeganAttendee"/>
        <s v="Morgan Smithmorgan.smith350@example.comBrazil 0.72916666666666745AVeganAttendee"/>
        <s v="Jesse Halljesse.hall886@example.comIndia0.312545AKosherAttendee"/>
        <s v="Riley Walkerriley.walker459@example.comUnited StatesKeynote: Future of Data0.312545BHalalAttendee"/>
        <s v="Chris Walkerchris.walker825@example.comGermanyWorkshop: Excel Mastery0.812545CAttendee"/>
        <s v="Casey Johnsoncasey.johnson118@example.comAustraliaKeynote: Future of Data0.22916666666666745CVeganAttendee"/>
        <s v="Riley Brownriley.brown243@example.comAustraliaWebinar: AI Ethics0.77083333333333345CVeganAttendee"/>
        <s v="Morgan Johnsonmorgan.johnson572@example.comUnited KingdomWorkshop: Excel Mastery0.37545DHalalAttendee"/>
        <s v="Casey Clarkcasey.clark580@example.comCanadaWebinar: AI Ethics0.16666666666666745DHalalAttendee"/>
        <s v="Morgan Allenmorgan.allen142@example.comUnited KingdomKeynote: Future of Data0.45833333333333346AHalalAttendee"/>
        <s v="Jordan Lewisjordan.lewis81@example.comJapanPanel: Women in Tech0.7546AVeganSpeaker"/>
        <s v="Jamie Clarkjamie.clark727@example.comCanadaWebinar: AI Ethics0.37546B Attendee"/>
        <s v="Chris Allenchris.allen42@example.comIndia 0.16666666666666746BHalalAttendee"/>
        <s v="Jordan Lewisjordan.lewis119@example.comNigeriaWebinar: AI Ethics0.70833333333333346BAttendee"/>
        <s v="Jordan Leejordan.lee271@example.comCanadaKeynote: Future of Data0.22916666666666746CVegetarianAttendee"/>
        <s v="Riley Hallriley.hall170@example.comUnited KingdomWebinar: AI Ethics0.2546CKosherAttendee"/>
        <s v="Riley Leeriley.lee649@example.comUnited KingdomWorkshop: Excel Mastery0.87546D Attendee"/>
        <s v="Casey Smithcasey.smith31@example.comCanadaWorkshop: Excel Mastery0.37546DVegetarianSpeaker"/>
        <s v="Casey Wilsoncasey.wilson254@example.comNigeriaPanel: Women in Tech0.20833333333333347AVeganAttendee"/>
        <s v="Chris Clarkchris.clark293@example.comKeynote: Future of Data0.45833333333333347AVegetarianAttendee"/>
        <s v="Jordan Brownjordan.brown675@example.comAustraliaPanel: Women in Tech0.562547AAttendee"/>
        <s v="Morgan Johnsonmorgan.johnson209@example.comBrazil0.85416666666666747BVeganAttendee"/>
        <s v="Jordan Johnsonjordan.johnson792@example.comAustraliaPanel: Women in Tech0.020833333333333347C Attendee"/>
        <s v="Drew Johnsondrew.johnson631@example.comJapan 0.60416666666666747CHalalAttendee"/>
        <s v="Riley Hallriley.hall37@example.comFranceKeynote: Future of Data0.47916666666666748AKosherAttendee"/>
        <s v="Casey Leecasey.lee133@example.comAustraliaWebinar: AI Ethics0.89583333333333348AKosherAttendee"/>
        <s v="Jamie Smithjamie.smith186@example.comGermanyWebinar: AI Ethics0.083333333333333348AVeganAttendee"/>
        <s v="Casey Clarkcasey.clark989@example.comAustraliaKeynote: Future of Data0.60416666666666748BKosherAttendee"/>
        <s v="Casey Browncasey.brown211@example.comJapan 0.83333333333333348BVeganAttendee"/>
        <s v="Jamie Allenjamie.allen446@example.comUnited Kingdom0.60416666666666748BVeganAttendee"/>
        <s v="Casey Leecasey.lee957@example.comUnited States 0.62548CVeganAttendee"/>
        <s v="Jamie Halljamie.hall308@example.comGermany 0.70833333333333348CAttendee"/>
        <s v="Morgan Allenmorgan.allen867@example.comAustraliaPanel: Women in Tech0.12548CNoneAttendee"/>
        <s v="Jordan Johnsonjordan.johnson377@example.comFranceWorkshop: Excel Mastery0.64583333333333348CKosherAttendee"/>
        <s v="Taylor Johnsontaylor.johnson44@example.comUnited Kingdom0.27083333333333348DVegetarianAttendee"/>
        <s v="Chris Johnsonchris.johnson288@example.comNigeria 0.66666666666666748D Attendee"/>
        <s v="Morgan Clarkmorgan.clark340@example.comBrazilPanel: Women in Tech0.437549AVeganAttendee"/>
        <s v="Chris Lewischris.lewis135@example.com0.60416666666666749AVeganAttendee"/>
        <s v="Chris Wilsonchris.wilson60@example.comIndiaWebinar: AI Ethics0.10416666666666749BVegetarianAttendee"/>
        <s v="Alex Hallalex.hall971@example.comIndiaKeynote: Future of Data0.52083333333333349BAttendee"/>
        <s v="Chris Johnsonchris.johnson237@example.comCanada0.2549BVegetarianAttendee"/>
        <s v="Jordan Clarkjordan.clark681@example.comWorkshop: Excel Mastery0.312549BKosherAttendee"/>
        <s v="Morgan Hallmorgan.hall485@example.com Workshop: Excel Mastery0.72916666666666749BAttendee"/>
        <s v="Casey Smithcasey.smith39@example.comJapanWorkshop: Excel Mastery0.020833333333333349BVeganAttendee"/>
        <s v="Taylor Halltaylor.hall556@example.com 0.91666666666666749CNoneAttendee"/>
        <s v="Jesse Leejesse.lee321@example.com Panel: Women in Tech0.549CNoneAttendee"/>
        <s v="Morgan Clarkmorgan.clark311@example.comUnited StatesWorkshop: Excel Mastery049DVegetarianAttendee"/>
        <s v="Morgan Walkermorgan.walker307@example.comCanadaTraining: Dashboard Design0.87549DVegetarianAttendee"/>
        <s v="Jordan Johnsonjordan.johnson660@example.comIndiaTraining: Dashboard Design0.3541666666666674A Attendee"/>
        <s v="Jamie Clarkjamie.clark267@example.comFrancePanel: Women in Tech0.1458333333333334AKosherAttendee"/>
        <s v="Casey Johnsoncasey.johnson771@example.comAustraliaPanel: Women in Tech0.3333333333333334CVegetarianAttendee"/>
        <s v="Chris Johnsonchris.johnson63@example.comJapanWebinar: AI Ethics0.4791666666666674CAttendee"/>
        <s v="Drew Allendrew.allen30@example.comGermanyWorkshop: Excel Mastery0.5416666666666674CAttendee"/>
        <s v="Drew Wilsondrew.wilson969@example.comFranceKeynote: Future of Data0.5833333333333334D Attendee"/>
        <s v="Jesse Brownjesse.brown791@example.comNigeriaTraining: Dashboard Design0.3333333333333334D Attendee"/>
        <s v="Casey Johnsoncasey.johnson948@example.com0.47916666666666750AVegetarianSpeaker"/>
        <s v="Jamie Lewisjamie.lewis584@example.comNigeriaWorkshop: Excel Mastery0.91666666666666750AKosherAttendee"/>
        <s v="Jordan Brownjordan.brown856@example.comFrance0.16666666666666750AAttendee"/>
        <s v="Drew Wilsondrew.wilson97@example.comNigeriaKeynote: Future of Data0.58333333333333350BVegetarianAttendee"/>
        <s v="Morgan Walkermorgan.walker717@example.comUnited Kingdom 0.20833333333333350BHalalAttendee"/>
        <s v="Jamie Leejamie.lee321@example.comKeynote: Future of Data0.85416666666666750BNoneAttendee"/>
        <s v="Chris Hallchris.hall916@example.comJapanTraining: Dashboard Design0.77083333333333350CVegetarianAttendee"/>
        <s v="Drew Clarkdrew.clark398@example.comUnited KingdomWorkshop: Excel Mastery0.7550CVeganAttendee"/>
        <s v="Jesse Smithjesse.smith846@example.comUnited StatesKeynote: Future of Data0.47916666666666750DNoneAttendee"/>
        <s v="Casey Lewiscasey.lewis980@example.comPanel: Women in Tech0.562550D Attendee"/>
        <s v="Morgan Lewismorgan.lewis382@example.com0.43755AVeganAttendee"/>
        <s v="Jesse Lewisjesse.lewis375@example.comJapan0.8333333333333335AHalalAttendee"/>
        <s v="Jamie Clarkjamie.clark903@example.comUnited KingdomWorkshop: Excel Mastery0.1666666666666675ANoneAttendee"/>
        <s v="Riley Lewisriley.lewis360@example.comJapanTraining: Dashboard Design0.8333333333333335AHalalAttendee"/>
        <s v="Jordan Allenjordan.allen27@example.comUnited KingdomWebinar: AI Ethics0.55BVeganAttendee"/>
        <s v="Taylor Browntaylor.brown513@example.com Panel: Women in Tech0.6041666666666675CNoneAttendee"/>
        <s v="Morgan Wilsonmorgan.wilson25@example.comWorkshop: Excel Mastery0.43755CHalalAttendee"/>
        <s v="Chris Allenchris.allen825@example.comCanada 0.2708333333333335CVeganAttendee"/>
        <s v="Drew Smithdrew.smith976@example.com Training: Dashboard Design0.3541666666666675DAttendee"/>
        <s v="Jamie Allenjamie.allen3@example.com Keynote: Future of Data0.8541666666666675DVegetarianAttendee"/>
        <s v="Chris Walkerchris.walker262@example.comKeynote: Future of Data0.3755DHalalAttendee"/>
        <s v="Riley Leeriley.lee778@example.com Training: Dashboard Design0.7916666666666676AHalalAttendee"/>
        <s v="Casey Browncasey.brown383@example.comAustraliaTraining: Dashboard Design0.56AVeganAttendee"/>
        <s v="Taylor Walkertaylor.walker360@example.com Workshop: Excel Mastery0.31256AVegetarianAttendee"/>
        <s v="Jamie Brownjamie.brown881@example.comAustralia0.8333333333333336AVeganAttendee"/>
        <s v="Alex Lewisalex.lewis208@example.com Workshop: Excel Mastery0.2291666666666676CHalalAttendee"/>
        <s v="Drew Browndrew.brown806@example.comJapanWorkshop: Excel Mastery0.7291666666666676CVegetarianAttendee"/>
        <s v="Casey Allencasey.allen843@example.comGermanyWebinar: AI Ethics0.4166666666666676CAttendee"/>
        <s v="Alex Lewisalex.lewis55@example.comAustraliaWebinar: AI Ethics0.31256CVegetarianAttendee"/>
        <s v="Alex Johnsonalex.johnson808@example.comNigeriaKeynote: Future of Data0.9583333333333336CHalalAttendee"/>
        <s v="Casey Lewiscasey.lewis387@example.comJapanTraining: Dashboard Design0.4583333333333336D Attendee"/>
        <s v="Riley Lewisriley.lewis348@example.comGermanyTraining: Dashboard Design0.4791666666666676DVeganAttendee"/>
        <s v="Taylor Smithtaylor.smith873@example.comUnited KingdomPanel: Women in Tech0.5416666666666677AVeganAttendee"/>
        <s v="Drew Browndrew.brown327@example.comIndiaTraining: Dashboard Design0.7291666666666677AHalalAttendee"/>
        <s v="Chris Leechris.lee390@example.com  0.5208333333333337AVeganAttendee"/>
        <s v="Jamie Smithjamie.smith974@example.comBrazilKeynote: Future of Data0.9791666666666677BNoneAttendee"/>
        <s v="Jamie Allenjamie.allen54@example.com0.1041666666666677DHalalAttendee"/>
        <s v="Jamie Smithjamie.smith52@example.comUnited KingdomTraining: Dashboard Design0.3757DVegetarianAttendee"/>
        <s v="Taylor Johnsontaylor.johnson166@example.com Training: Dashboard Design0.7083333333333338AAttendee"/>
        <s v="Taylor Allentaylor.allen3@example.comUnited Kingdom 0.1458333333333338AVegetarianAttendee"/>
        <s v="Jamie Lewisjamie.lewis124@example.comJapanPanel: Women in Tech0.8541666666666678AVegetarianAttendee"/>
        <s v="Drew Allendrew.allen615@example.comNigeria0.93758A Attendee"/>
        <s v="Jamie Wilsonjamie.wilson427@example.com Panel: Women in Tech0.1041666666666678AVegetarianAttendee"/>
        <s v="Morgan Brownmorgan.brown651@example.comNigeria0.8541666666666678BVeganAttendee"/>
        <s v="Taylor Halltaylor.hall977@example.comJapanKeynote: Future of Data0.6258C Attendee"/>
        <s v="Jamie Walkerjamie.walker247@example.comWebinar: AI Ethics0.56258DHalalAttendee"/>
        <s v="Chris Brownchris.brown396@example.comJapanTraining: Dashboard Design0.7916666666666679AKosherAttendee"/>
        <s v="Jesse Walkerjesse.walker947@example.comJapan 09AKosherAttendee"/>
        <s v="Morgan Johnsonmorgan.johnson668@example.comAustraliaWebinar: AI Ethics0.9583333333333339BNoneAttendee"/>
        <s v="Jamie Smithjamie.smith372@example.comUnited KingdomWorkshop: Excel Mastery0.7708333333333339BVeganAttendee"/>
        <s v="Taylor Halltaylor.hall123@example.comAustraliaKeynote: Future of Data0.3541666666666679BNoneAttendee"/>
        <s v="Alex Leealex.lee509@example.comBrazilWebinar: AI Ethics0.2291666666666679CAttendee"/>
        <s v="Morgan Allenmorgan.allen501@example.comCanadaWebinar: AI Ethics0.06259DKosherAttendee"/>
      </sharedItems>
    </cacheField>
    <cacheField name="Duplicate Chec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0">
  <r>
    <s v="Jordan Smith"/>
    <s v="jordan.smith783@example.com"/>
    <x v="0"/>
    <x v="0"/>
    <d v="1899-12-30T23:00:00"/>
    <s v="10A"/>
    <s v="Vegetarian"/>
    <x v="0"/>
    <x v="0"/>
    <s v="Unique"/>
  </r>
  <r>
    <s v="Riley Allen"/>
    <s v="riley.allen285@example.com"/>
    <x v="0"/>
    <x v="1"/>
    <d v="1899-12-30T12:30:00"/>
    <s v="10B"/>
    <s v=" "/>
    <x v="1"/>
    <x v="1"/>
    <s v="Unique"/>
  </r>
  <r>
    <s v="Morgan Hall"/>
    <s v="morgan.hall123@example.com"/>
    <x v="1"/>
    <x v="0"/>
    <d v="1899-12-30T13:00:00"/>
    <s v="10B"/>
    <s v="Vegetarian"/>
    <x v="2"/>
    <x v="2"/>
    <s v="Unique"/>
  </r>
  <r>
    <s v="Jesse Clark"/>
    <s v="jesse.clark592@example.com"/>
    <x v="2"/>
    <x v="1"/>
    <d v="1899-12-30T07:30:00"/>
    <s v="10B"/>
    <s v="Kosher"/>
    <x v="0"/>
    <x v="3"/>
    <s v="Unique"/>
  </r>
  <r>
    <s v="Chris Hall"/>
    <s v="chris.hall470@example.com"/>
    <x v="0"/>
    <x v="1"/>
    <d v="1899-12-30T03:30:00"/>
    <s v="10B"/>
    <s v="None"/>
    <x v="2"/>
    <x v="4"/>
    <s v="Duplicate"/>
  </r>
  <r>
    <s v="Taylor Clark"/>
    <s v="taylor.clark735@example.com"/>
    <x v="3"/>
    <x v="1"/>
    <d v="1899-12-30T01:00:00"/>
    <s v="10B"/>
    <s v=" "/>
    <x v="2"/>
    <x v="5"/>
    <s v="Unique"/>
  </r>
  <r>
    <s v="Chris Hall"/>
    <s v="chris.hall470@example.com"/>
    <x v="0"/>
    <x v="1"/>
    <d v="1899-12-30T03:30:00"/>
    <s v="10B"/>
    <s v="None"/>
    <x v="2"/>
    <x v="4"/>
    <s v="Duplicate"/>
  </r>
  <r>
    <s v="Taylor Hall"/>
    <s v="taylor.hall935@example.com"/>
    <x v="4"/>
    <x v="1"/>
    <d v="1899-12-30T20:00:00"/>
    <s v="10C"/>
    <s v=" "/>
    <x v="3"/>
    <x v="6"/>
    <s v="Unique"/>
  </r>
  <r>
    <s v="Drew Allen"/>
    <s v="drew.allen56@example.com"/>
    <x v="0"/>
    <x v="2"/>
    <d v="1899-12-30T09:30:00"/>
    <s v="11A"/>
    <s v=" "/>
    <x v="2"/>
    <x v="7"/>
    <s v="Duplicate"/>
  </r>
  <r>
    <s v="Morgan Wilson"/>
    <s v="morgan.wilson271@example.com"/>
    <x v="1"/>
    <x v="3"/>
    <d v="1899-12-30T04:00:00"/>
    <s v="11A"/>
    <s v="Kosher"/>
    <x v="3"/>
    <x v="8"/>
    <s v="Duplicate"/>
  </r>
  <r>
    <s v="Morgan Wilson"/>
    <s v="morgan.wilson271@example.com"/>
    <x v="1"/>
    <x v="3"/>
    <d v="1899-12-30T04:00:00"/>
    <s v="11A"/>
    <s v="Kosher"/>
    <x v="3"/>
    <x v="8"/>
    <s v="Duplicate"/>
  </r>
  <r>
    <s v="Alex Clark"/>
    <s v="alex.clark268@example.com"/>
    <x v="4"/>
    <x v="3"/>
    <d v="1899-12-30T05:30:00"/>
    <s v="11A"/>
    <s v="None"/>
    <x v="2"/>
    <x v="9"/>
    <s v="Unique"/>
  </r>
  <r>
    <s v="Drew Allen"/>
    <s v="drew.allen56@example.com"/>
    <x v="0"/>
    <x v="2"/>
    <d v="1899-12-30T09:30:00"/>
    <s v="11A"/>
    <s v=" "/>
    <x v="2"/>
    <x v="7"/>
    <s v="Duplicate"/>
  </r>
  <r>
    <s v="Jamie Clark"/>
    <s v="jamie.clark442@example.com"/>
    <x v="3"/>
    <x v="4"/>
    <d v="1899-12-30T18:00:00"/>
    <s v="11B"/>
    <s v="Vegan"/>
    <x v="0"/>
    <x v="10"/>
    <s v="Unique"/>
  </r>
  <r>
    <s v="Riley Brown"/>
    <s v="riley.brown482@example.com"/>
    <x v="5"/>
    <x v="0"/>
    <d v="1899-12-30T10:00:00"/>
    <s v="11C"/>
    <s v="Kosher"/>
    <x v="0"/>
    <x v="11"/>
    <s v="Unique"/>
  </r>
  <r>
    <s v="Drew Allen"/>
    <s v="drew.allen187@example.com"/>
    <x v="3"/>
    <x v="0"/>
    <d v="1899-12-30T14:00:00"/>
    <s v="11C"/>
    <m/>
    <x v="0"/>
    <x v="12"/>
    <s v="Duplicate"/>
  </r>
  <r>
    <s v="Drew Allen"/>
    <s v="drew.allen187@example.com"/>
    <x v="3"/>
    <x v="0"/>
    <d v="1899-12-30T14:00:00"/>
    <s v="11C"/>
    <m/>
    <x v="0"/>
    <x v="12"/>
    <s v="Duplicate"/>
  </r>
  <r>
    <s v="Jordan Smith"/>
    <s v="jordan.smith391@example.com"/>
    <x v="3"/>
    <x v="3"/>
    <d v="1899-12-30T04:30:00"/>
    <s v="11C"/>
    <m/>
    <x v="2"/>
    <x v="13"/>
    <s v="Unique"/>
  </r>
  <r>
    <s v="Casey Lee"/>
    <s v="casey.lee206@example.com"/>
    <x v="3"/>
    <x v="1"/>
    <d v="1899-12-30T16:30:00"/>
    <s v="11C"/>
    <s v=" "/>
    <x v="0"/>
    <x v="14"/>
    <s v="Unique"/>
  </r>
  <r>
    <s v="Riley Johnson"/>
    <s v="riley.johnson240@example.com"/>
    <x v="4"/>
    <x v="4"/>
    <d v="1899-12-30T22:00:00"/>
    <s v="11D"/>
    <s v="Kosher"/>
    <x v="2"/>
    <x v="15"/>
    <s v="Duplicate"/>
  </r>
  <r>
    <s v="Jamie Smith"/>
    <s v="jamie.smith48@example.com"/>
    <x v="4"/>
    <x v="2"/>
    <d v="1899-12-30T00:00:00"/>
    <s v="11D"/>
    <s v="Kosher"/>
    <x v="2"/>
    <x v="16"/>
    <s v="Unique"/>
  </r>
  <r>
    <s v="Riley Johnson"/>
    <s v="riley.johnson240@example.com"/>
    <x v="4"/>
    <x v="4"/>
    <d v="1899-12-30T22:00:00"/>
    <s v="11D"/>
    <s v="Kosher"/>
    <x v="2"/>
    <x v="15"/>
    <s v="Duplicate"/>
  </r>
  <r>
    <s v="Casey Allen"/>
    <s v="casey.allen429@example.com"/>
    <x v="6"/>
    <x v="1"/>
    <d v="1899-12-30T18:30:00"/>
    <s v="11D"/>
    <s v="None"/>
    <x v="0"/>
    <x v="17"/>
    <s v="Unique"/>
  </r>
  <r>
    <s v="Morgan Clark"/>
    <s v="morgan.clark774@example.com"/>
    <x v="2"/>
    <x v="5"/>
    <d v="1899-12-30T12:00:00"/>
    <s v="12A"/>
    <s v="Vegetarian"/>
    <x v="2"/>
    <x v="18"/>
    <s v="Unique"/>
  </r>
  <r>
    <s v="Taylor Smith"/>
    <s v="taylor.smith755@example.com"/>
    <x v="5"/>
    <x v="1"/>
    <d v="1899-12-30T18:00:00"/>
    <s v="12D"/>
    <s v=" "/>
    <x v="0"/>
    <x v="19"/>
    <s v="Unique"/>
  </r>
  <r>
    <s v="Chris Clark"/>
    <s v="chris.clark783@example.com"/>
    <x v="7"/>
    <x v="6"/>
    <d v="1899-12-30T07:00:00"/>
    <s v="13C"/>
    <s v="None"/>
    <x v="0"/>
    <x v="20"/>
    <s v="Unique"/>
  </r>
  <r>
    <s v="Casey Hall"/>
    <s v="casey.hall845@example.com"/>
    <x v="0"/>
    <x v="2"/>
    <d v="1899-12-30T13:00:00"/>
    <s v="13C"/>
    <s v="None"/>
    <x v="0"/>
    <x v="21"/>
    <s v="Unique"/>
  </r>
  <r>
    <s v="Chris Walker"/>
    <s v="chris.walker565@example.com"/>
    <x v="4"/>
    <x v="4"/>
    <d v="1899-12-30T05:00:00"/>
    <s v="13C"/>
    <m/>
    <x v="2"/>
    <x v="22"/>
    <s v="Unique"/>
  </r>
  <r>
    <s v="Jesse Johnson"/>
    <s v="jesse.johnson655@example.com"/>
    <x v="7"/>
    <x v="2"/>
    <d v="1899-12-30T14:30:00"/>
    <s v="13D"/>
    <s v=" "/>
    <x v="0"/>
    <x v="23"/>
    <s v="Duplicate"/>
  </r>
  <r>
    <s v="Jesse Johnson"/>
    <s v="jesse.johnson655@example.com"/>
    <x v="7"/>
    <x v="2"/>
    <d v="1899-12-30T14:30:00"/>
    <s v="13D"/>
    <s v=" "/>
    <x v="0"/>
    <x v="23"/>
    <s v="Duplicate"/>
  </r>
  <r>
    <s v="Jordan Lewis"/>
    <s v="jordan.lewis455@example.com"/>
    <x v="7"/>
    <x v="3"/>
    <d v="1899-12-30T15:00:00"/>
    <s v="14A"/>
    <s v="Halal"/>
    <x v="2"/>
    <x v="24"/>
    <s v="Unique"/>
  </r>
  <r>
    <s v="Jordan Brown"/>
    <s v="jordan.brown914@example.com"/>
    <x v="0"/>
    <x v="1"/>
    <d v="1899-12-30T10:30:00"/>
    <s v="14A"/>
    <s v="None"/>
    <x v="2"/>
    <x v="25"/>
    <s v="Unique"/>
  </r>
  <r>
    <s v="Alex Brown"/>
    <s v="alex.brown701@example.com"/>
    <x v="8"/>
    <x v="5"/>
    <d v="1899-12-30T15:30:00"/>
    <s v="14B"/>
    <s v=" "/>
    <x v="0"/>
    <x v="26"/>
    <s v="Duplicate"/>
  </r>
  <r>
    <s v="Alex Brown"/>
    <s v="alex.brown701@example.com"/>
    <x v="8"/>
    <x v="5"/>
    <d v="1899-12-30T15:30:00"/>
    <s v="14B"/>
    <s v=" "/>
    <x v="0"/>
    <x v="26"/>
    <s v="Duplicate"/>
  </r>
  <r>
    <s v="Morgan Clark"/>
    <s v="morgan.clark527@example.com"/>
    <x v="4"/>
    <x v="3"/>
    <d v="1899-12-30T09:00:00"/>
    <s v="14B"/>
    <s v=" "/>
    <x v="2"/>
    <x v="27"/>
    <s v="Duplicate"/>
  </r>
  <r>
    <s v="Morgan Clark"/>
    <s v="morgan.clark527@example.com"/>
    <x v="4"/>
    <x v="3"/>
    <d v="1899-12-30T09:00:00"/>
    <s v="14B"/>
    <s v=" "/>
    <x v="2"/>
    <x v="27"/>
    <s v="Duplicate"/>
  </r>
  <r>
    <s v="Drew Lewis"/>
    <s v="drew.lewis936@example.com"/>
    <x v="9"/>
    <x v="3"/>
    <d v="1899-12-30T08:30:00"/>
    <s v="14C"/>
    <m/>
    <x v="0"/>
    <x v="28"/>
    <s v="Duplicate"/>
  </r>
  <r>
    <s v="Drew Lewis"/>
    <s v="drew.lewis936@example.com"/>
    <x v="9"/>
    <x v="3"/>
    <d v="1899-12-30T08:30:00"/>
    <s v="14C"/>
    <m/>
    <x v="0"/>
    <x v="28"/>
    <s v="Duplicate"/>
  </r>
  <r>
    <s v="Riley Allen"/>
    <s v="riley.allen171@example.com"/>
    <x v="5"/>
    <x v="4"/>
    <d v="1899-12-30T03:00:00"/>
    <s v="15A"/>
    <s v="Vegan"/>
    <x v="2"/>
    <x v="29"/>
    <s v="Unique"/>
  </r>
  <r>
    <s v="Jesse Allen"/>
    <s v="jesse.allen407@example.com"/>
    <x v="5"/>
    <x v="3"/>
    <d v="1899-12-30T14:30:00"/>
    <s v="15C"/>
    <s v="None"/>
    <x v="3"/>
    <x v="30"/>
    <s v="Unique"/>
  </r>
  <r>
    <s v="Jamie Wilson"/>
    <s v="jamie.wilson129@example.com"/>
    <x v="2"/>
    <x v="4"/>
    <d v="1899-12-30T09:00:00"/>
    <s v="15C"/>
    <s v=" "/>
    <x v="3"/>
    <x v="31"/>
    <s v="Unique"/>
  </r>
  <r>
    <s v="Jordan Lee"/>
    <s v="jordan.lee280@example.com"/>
    <x v="10"/>
    <x v="5"/>
    <d v="1899-12-30T07:00:00"/>
    <s v="15D"/>
    <s v="Halal"/>
    <x v="3"/>
    <x v="32"/>
    <s v="Unique"/>
  </r>
  <r>
    <s v="Drew Wilson"/>
    <s v="drew.wilson671@example.com"/>
    <x v="1"/>
    <x v="0"/>
    <d v="1899-12-30T11:00:00"/>
    <s v="15D"/>
    <s v="Halal"/>
    <x v="2"/>
    <x v="33"/>
    <s v="Unique"/>
  </r>
  <r>
    <s v="Riley Johnson"/>
    <s v="riley.johnson765@example.com"/>
    <x v="5"/>
    <x v="1"/>
    <d v="1899-12-30T20:00:00"/>
    <s v="15D"/>
    <s v=" "/>
    <x v="3"/>
    <x v="34"/>
    <s v="Unique"/>
  </r>
  <r>
    <s v="Taylor Wilson"/>
    <s v="taylor.wilson529@example.com"/>
    <x v="3"/>
    <x v="5"/>
    <d v="1899-12-30T06:30:00"/>
    <s v="15D"/>
    <m/>
    <x v="2"/>
    <x v="35"/>
    <s v="Unique"/>
  </r>
  <r>
    <s v="Morgan Lewis"/>
    <s v="morgan.lewis504@example.com"/>
    <x v="0"/>
    <x v="4"/>
    <d v="1899-12-30T02:00:00"/>
    <s v="15D"/>
    <m/>
    <x v="2"/>
    <x v="36"/>
    <s v="Unique"/>
  </r>
  <r>
    <s v="Jesse Lewis"/>
    <s v="jesse.lewis635@example.com"/>
    <x v="1"/>
    <x v="4"/>
    <d v="1899-12-30T18:00:00"/>
    <s v="15D"/>
    <m/>
    <x v="3"/>
    <x v="37"/>
    <s v="Unique"/>
  </r>
  <r>
    <s v="Alex Brown"/>
    <s v="alex.brown798@example.com"/>
    <x v="7"/>
    <x v="4"/>
    <d v="1899-12-30T12:30:00"/>
    <s v="16A"/>
    <s v="Kosher"/>
    <x v="3"/>
    <x v="38"/>
    <s v="Unique"/>
  </r>
  <r>
    <s v="Taylor Hall"/>
    <s v="taylor.hall335@example.com"/>
    <x v="7"/>
    <x v="5"/>
    <d v="1899-12-30T05:30:00"/>
    <s v="16A"/>
    <s v="Vegetarian"/>
    <x v="2"/>
    <x v="39"/>
    <s v="Unique"/>
  </r>
  <r>
    <s v="Casey Hall"/>
    <s v="casey.hall336@example.com"/>
    <x v="4"/>
    <x v="0"/>
    <d v="1899-12-30T15:00:00"/>
    <s v="16A"/>
    <s v="Halal"/>
    <x v="3"/>
    <x v="40"/>
    <s v="Unique"/>
  </r>
  <r>
    <s v="Casey Lewis"/>
    <s v="casey.lewis191@example.com"/>
    <x v="1"/>
    <x v="5"/>
    <d v="1899-12-30T02:30:00"/>
    <s v="16A"/>
    <s v="Vegan"/>
    <x v="3"/>
    <x v="41"/>
    <s v="Unique"/>
  </r>
  <r>
    <s v="Jamie Wilson"/>
    <s v="jamie.wilson687@example.com"/>
    <x v="8"/>
    <x v="2"/>
    <d v="1899-12-30T10:00:00"/>
    <s v="16B"/>
    <s v="Kosher"/>
    <x v="1"/>
    <x v="42"/>
    <s v="Unique"/>
  </r>
  <r>
    <s v="Morgan Wilson"/>
    <s v="morgan.wilson683@example.com"/>
    <x v="4"/>
    <x v="6"/>
    <d v="1899-12-30T19:00:00"/>
    <s v="16B"/>
    <s v=" "/>
    <x v="3"/>
    <x v="43"/>
    <s v="Unique"/>
  </r>
  <r>
    <s v="Casey Allen"/>
    <s v="casey.allen200@example.com"/>
    <x v="11"/>
    <x v="2"/>
    <d v="1899-12-30T15:30:00"/>
    <s v="16B"/>
    <m/>
    <x v="3"/>
    <x v="44"/>
    <s v="Unique"/>
  </r>
  <r>
    <s v="Riley Walker"/>
    <s v="riley.walker901@example.com"/>
    <x v="8"/>
    <x v="0"/>
    <d v="1899-12-30T02:30:00"/>
    <s v="16B"/>
    <s v="None"/>
    <x v="3"/>
    <x v="45"/>
    <s v="Unique"/>
  </r>
  <r>
    <s v="Morgan Lee"/>
    <s v="morgan.lee562@example.com"/>
    <x v="11"/>
    <x v="5"/>
    <d v="1899-12-30T03:30:00"/>
    <s v="16C"/>
    <s v="Vegan"/>
    <x v="3"/>
    <x v="46"/>
    <s v="Unique"/>
  </r>
  <r>
    <s v="Jesse Brown"/>
    <s v="jesse.brown960@example.com"/>
    <x v="10"/>
    <x v="4"/>
    <d v="1899-12-30T23:00:00"/>
    <s v="16C"/>
    <s v="Halal"/>
    <x v="2"/>
    <x v="47"/>
    <s v="Unique"/>
  </r>
  <r>
    <s v="Jordan Allen"/>
    <s v="jordan.allen748@example.com"/>
    <x v="7"/>
    <x v="6"/>
    <d v="1899-12-30T10:00:00"/>
    <s v="16C"/>
    <m/>
    <x v="2"/>
    <x v="48"/>
    <s v="Unique"/>
  </r>
  <r>
    <s v="Drew Allen"/>
    <s v="drew.allen522@example.com"/>
    <x v="6"/>
    <x v="2"/>
    <d v="1899-12-30T09:00:00"/>
    <s v="16D"/>
    <s v="Kosher"/>
    <x v="2"/>
    <x v="49"/>
    <s v="Duplicate"/>
  </r>
  <r>
    <s v="Drew Allen"/>
    <s v="drew.allen522@example.com"/>
    <x v="6"/>
    <x v="2"/>
    <d v="1899-12-30T09:00:00"/>
    <s v="16D"/>
    <s v="Kosher"/>
    <x v="2"/>
    <x v="49"/>
    <s v="Duplicate"/>
  </r>
  <r>
    <s v="Alex Clark"/>
    <s v="alex.clark809@example.com"/>
    <x v="6"/>
    <x v="5"/>
    <d v="1899-12-30T00:00:00"/>
    <s v="17A"/>
    <s v="Vegetarian"/>
    <x v="3"/>
    <x v="50"/>
    <s v="Duplicate"/>
  </r>
  <r>
    <s v="Drew Lewis"/>
    <s v="drew.lewis696@example.com"/>
    <x v="9"/>
    <x v="6"/>
    <d v="1899-12-30T14:30:00"/>
    <s v="17A"/>
    <s v="Vegan"/>
    <x v="3"/>
    <x v="51"/>
    <s v="Duplicate"/>
  </r>
  <r>
    <s v="Drew Lewis"/>
    <s v="drew.lewis696@example.com"/>
    <x v="9"/>
    <x v="6"/>
    <d v="1899-12-30T14:30:00"/>
    <s v="17A"/>
    <s v="Vegan"/>
    <x v="3"/>
    <x v="51"/>
    <s v="Duplicate"/>
  </r>
  <r>
    <s v="Alex Clark"/>
    <s v="alex.clark809@example.com"/>
    <x v="6"/>
    <x v="5"/>
    <d v="1899-12-30T00:00:00"/>
    <s v="17A"/>
    <s v="Vegetarian"/>
    <x v="3"/>
    <x v="50"/>
    <s v="Duplicate"/>
  </r>
  <r>
    <s v="Taylor Brown"/>
    <s v="taylor.brown842@example.com"/>
    <x v="11"/>
    <x v="2"/>
    <d v="1899-12-30T14:00:00"/>
    <s v="17B"/>
    <s v="Vegetarian"/>
    <x v="2"/>
    <x v="52"/>
    <s v="Duplicate"/>
  </r>
  <r>
    <s v="Morgan Clark"/>
    <s v="morgan.clark217@example.com"/>
    <x v="7"/>
    <x v="2"/>
    <d v="1899-12-30T15:00:00"/>
    <s v="17B"/>
    <s v="Vegan"/>
    <x v="2"/>
    <x v="53"/>
    <s v="Unique"/>
  </r>
  <r>
    <s v="Taylor Brown"/>
    <s v="taylor.brown842@example.com"/>
    <x v="11"/>
    <x v="2"/>
    <d v="1899-12-30T14:00:00"/>
    <s v="17B"/>
    <s v="Vegetarian"/>
    <x v="2"/>
    <x v="52"/>
    <s v="Duplicate"/>
  </r>
  <r>
    <s v="Riley Clark"/>
    <s v="riley.clark42@example.com"/>
    <x v="6"/>
    <x v="1"/>
    <d v="1899-12-30T07:00:00"/>
    <s v="17C"/>
    <s v="Vegetarian"/>
    <x v="2"/>
    <x v="54"/>
    <s v="Unique"/>
  </r>
  <r>
    <s v="Taylor Brown"/>
    <s v="taylor.brown941@example.com"/>
    <x v="4"/>
    <x v="5"/>
    <d v="1899-12-30T04:00:00"/>
    <s v="17C"/>
    <s v="Halal"/>
    <x v="3"/>
    <x v="55"/>
    <s v="Unique"/>
  </r>
  <r>
    <s v="Casey Wilson"/>
    <s v="casey.wilson458@example.com"/>
    <x v="8"/>
    <x v="6"/>
    <d v="1899-12-30T18:00:00"/>
    <s v="17C"/>
    <m/>
    <x v="3"/>
    <x v="56"/>
    <s v="Unique"/>
  </r>
  <r>
    <s v="Jesse Allen"/>
    <s v="jesse.allen777@example.com"/>
    <x v="4"/>
    <x v="3"/>
    <d v="1899-12-30T05:30:00"/>
    <s v="17D"/>
    <m/>
    <x v="2"/>
    <x v="57"/>
    <s v="Duplicate"/>
  </r>
  <r>
    <s v="Jesse Allen"/>
    <s v="jesse.allen777@example.com"/>
    <x v="4"/>
    <x v="3"/>
    <d v="1899-12-30T05:30:00"/>
    <s v="17D"/>
    <m/>
    <x v="2"/>
    <x v="57"/>
    <s v="Duplicate"/>
  </r>
  <r>
    <s v="Riley Hall"/>
    <s v="riley.hall367@example.com"/>
    <x v="2"/>
    <x v="4"/>
    <d v="1899-12-30T02:00:00"/>
    <s v="18A"/>
    <s v=" "/>
    <x v="2"/>
    <x v="58"/>
    <s v="Unique"/>
  </r>
  <r>
    <s v="Taylor Lewis"/>
    <s v="taylor.lewis671@example.com"/>
    <x v="4"/>
    <x v="1"/>
    <d v="1899-12-30T19:30:00"/>
    <s v="18A"/>
    <m/>
    <x v="3"/>
    <x v="59"/>
    <s v="Unique"/>
  </r>
  <r>
    <s v="Alex Hall"/>
    <s v="alex.hall904@example.com"/>
    <x v="3"/>
    <x v="0"/>
    <d v="1899-12-30T04:00:00"/>
    <s v="18B"/>
    <s v="Vegetarian"/>
    <x v="2"/>
    <x v="60"/>
    <s v="Duplicate"/>
  </r>
  <r>
    <s v="Taylor Lewis"/>
    <s v="taylor.lewis26@example.com"/>
    <x v="3"/>
    <x v="2"/>
    <d v="1899-12-30T13:00:00"/>
    <s v="18B"/>
    <s v=" "/>
    <x v="3"/>
    <x v="61"/>
    <s v="Unique"/>
  </r>
  <r>
    <s v="Chris Johnson"/>
    <s v="chris.johnson587@example.com"/>
    <x v="8"/>
    <x v="1"/>
    <d v="1899-12-30T03:30:00"/>
    <s v="18B"/>
    <m/>
    <x v="2"/>
    <x v="62"/>
    <s v="Unique"/>
  </r>
  <r>
    <s v="Alex Hall"/>
    <s v="alex.hall904@example.com"/>
    <x v="3"/>
    <x v="0"/>
    <d v="1899-12-30T04:00:00"/>
    <s v="18B"/>
    <s v="Vegetarian"/>
    <x v="2"/>
    <x v="60"/>
    <s v="Duplicate"/>
  </r>
  <r>
    <s v="Jordan Hall"/>
    <s v="jordan.hall927@example.com"/>
    <x v="6"/>
    <x v="5"/>
    <d v="1899-12-30T23:30:00"/>
    <s v="18C"/>
    <s v="Halal"/>
    <x v="3"/>
    <x v="63"/>
    <s v="Unique"/>
  </r>
  <r>
    <s v="Chris Allen"/>
    <s v="chris.allen232@example.com"/>
    <x v="7"/>
    <x v="1"/>
    <d v="1899-12-30T22:30:00"/>
    <s v="18C"/>
    <s v="Halal"/>
    <x v="3"/>
    <x v="64"/>
    <s v="Unique"/>
  </r>
  <r>
    <s v="Jesse Allen"/>
    <s v="jesse.allen904@example.com"/>
    <x v="5"/>
    <x v="5"/>
    <d v="1899-12-30T13:00:00"/>
    <s v="18D"/>
    <s v="Halal"/>
    <x v="2"/>
    <x v="65"/>
    <s v="Duplicate"/>
  </r>
  <r>
    <s v="Jesse Allen"/>
    <s v="jesse.allen904@example.com"/>
    <x v="5"/>
    <x v="5"/>
    <d v="1899-12-30T13:00:00"/>
    <s v="18D"/>
    <s v="Halal"/>
    <x v="2"/>
    <x v="65"/>
    <s v="Duplicate"/>
  </r>
  <r>
    <s v="Morgan Brown"/>
    <s v="morgan.brown473@example.com"/>
    <x v="4"/>
    <x v="2"/>
    <d v="1899-12-30T08:30:00"/>
    <s v="18D"/>
    <s v=" "/>
    <x v="3"/>
    <x v="66"/>
    <s v="Unique"/>
  </r>
  <r>
    <s v="Jesse Allen"/>
    <s v="jesse.allen87@example.com"/>
    <x v="0"/>
    <x v="4"/>
    <d v="1899-12-30T10:00:00"/>
    <s v="18D"/>
    <m/>
    <x v="3"/>
    <x v="67"/>
    <s v="Unique"/>
  </r>
  <r>
    <s v="Taylor Allen"/>
    <s v="taylor.allen873@example.com"/>
    <x v="0"/>
    <x v="1"/>
    <d v="1899-12-30T20:00:00"/>
    <s v="19A"/>
    <s v="Halal"/>
    <x v="2"/>
    <x v="68"/>
    <s v="Unique"/>
  </r>
  <r>
    <s v="Morgan Walker"/>
    <s v="morgan.walker284@example.com"/>
    <x v="11"/>
    <x v="5"/>
    <d v="1899-12-30T03:00:00"/>
    <s v="19B"/>
    <s v="Halal"/>
    <x v="3"/>
    <x v="69"/>
    <s v="Duplicate"/>
  </r>
  <r>
    <s v="Drew Allen"/>
    <s v="drew.allen806@example.com"/>
    <x v="5"/>
    <x v="4"/>
    <d v="1899-12-30T07:30:00"/>
    <s v="19B"/>
    <s v="Vegetarian"/>
    <x v="2"/>
    <x v="70"/>
    <s v="Unique"/>
  </r>
  <r>
    <s v="Riley Johnson"/>
    <s v="riley.johnson434@example.com"/>
    <x v="11"/>
    <x v="2"/>
    <d v="1899-12-30T04:00:00"/>
    <s v="19B"/>
    <s v="Vegan"/>
    <x v="3"/>
    <x v="71"/>
    <s v="Duplicate"/>
  </r>
  <r>
    <s v="Alex Lewis"/>
    <s v="alex.lewis450@example.com"/>
    <x v="6"/>
    <x v="5"/>
    <d v="1899-12-30T01:00:00"/>
    <s v="19B"/>
    <s v=" "/>
    <x v="3"/>
    <x v="72"/>
    <s v="Unique"/>
  </r>
  <r>
    <s v="Casey Johnson"/>
    <s v="casey.johnson9@example.com"/>
    <x v="2"/>
    <x v="1"/>
    <d v="1899-12-30T10:30:00"/>
    <s v="19B"/>
    <s v="None"/>
    <x v="3"/>
    <x v="73"/>
    <s v="Unique"/>
  </r>
  <r>
    <s v="Morgan Walker"/>
    <s v="morgan.walker284@example.com"/>
    <x v="11"/>
    <x v="5"/>
    <d v="1899-12-30T03:00:00"/>
    <s v="19B"/>
    <s v="Halal"/>
    <x v="3"/>
    <x v="69"/>
    <s v="Duplicate"/>
  </r>
  <r>
    <s v="Riley Johnson"/>
    <s v="riley.johnson434@example.com"/>
    <x v="11"/>
    <x v="2"/>
    <d v="1899-12-30T04:00:00"/>
    <s v="19B"/>
    <s v="Vegan"/>
    <x v="3"/>
    <x v="71"/>
    <s v="Duplicate"/>
  </r>
  <r>
    <s v="Jesse Lewis"/>
    <s v="jesse.lewis677@example.com"/>
    <x v="5"/>
    <x v="2"/>
    <d v="1899-12-30T00:00:00"/>
    <s v="19C"/>
    <s v="Kosher"/>
    <x v="2"/>
    <x v="74"/>
    <s v="Unique"/>
  </r>
  <r>
    <s v="Jordan Lewis"/>
    <s v="jordan.lewis363@example.com"/>
    <x v="1"/>
    <x v="1"/>
    <d v="1899-12-30T23:00:00"/>
    <s v="19C"/>
    <s v="Halal"/>
    <x v="3"/>
    <x v="75"/>
    <s v="Unique"/>
  </r>
  <r>
    <s v="Riley Walker"/>
    <s v="riley.walker779@example.com"/>
    <x v="0"/>
    <x v="4"/>
    <d v="1899-12-30T17:00:00"/>
    <s v="19D"/>
    <m/>
    <x v="3"/>
    <x v="76"/>
    <s v="Unique"/>
  </r>
  <r>
    <s v="Jamie Lewis"/>
    <s v="jamie.lewis475@example.com"/>
    <x v="1"/>
    <x v="5"/>
    <d v="1899-12-30T18:00:00"/>
    <s v="19D"/>
    <s v="Vegan"/>
    <x v="2"/>
    <x v="77"/>
    <s v="Unique"/>
  </r>
  <r>
    <s v="Alex Brown"/>
    <s v="alex.brown363@example.com"/>
    <x v="9"/>
    <x v="3"/>
    <d v="1899-12-30T12:00:00"/>
    <s v="19D"/>
    <s v="Kosher"/>
    <x v="3"/>
    <x v="78"/>
    <s v="Unique"/>
  </r>
  <r>
    <s v="Alex Hall"/>
    <s v="alex.hall509@example.com"/>
    <x v="6"/>
    <x v="2"/>
    <d v="1899-12-30T10:00:00"/>
    <s v="1A"/>
    <m/>
    <x v="2"/>
    <x v="79"/>
    <s v="Duplicate"/>
  </r>
  <r>
    <s v="Alex Hall"/>
    <s v="alex.hall509@example.com"/>
    <x v="6"/>
    <x v="2"/>
    <d v="1899-12-30T10:00:00"/>
    <s v="1A"/>
    <m/>
    <x v="2"/>
    <x v="79"/>
    <s v="Duplicate"/>
  </r>
  <r>
    <s v="Jesse Lee"/>
    <s v="jesse.lee580@example.com"/>
    <x v="2"/>
    <x v="6"/>
    <d v="1899-12-30T13:00:00"/>
    <s v="1C"/>
    <s v="Vegetarian"/>
    <x v="3"/>
    <x v="80"/>
    <s v="Unique"/>
  </r>
  <r>
    <s v="Drew Johnson"/>
    <s v="drew.johnson788@example.com"/>
    <x v="1"/>
    <x v="6"/>
    <d v="1899-12-30T17:30:00"/>
    <s v="1C"/>
    <s v="None"/>
    <x v="1"/>
    <x v="81"/>
    <s v="Unique"/>
  </r>
  <r>
    <s v="Chris Wilson"/>
    <s v="chris.wilson739@example.com"/>
    <x v="1"/>
    <x v="0"/>
    <d v="1899-12-30T20:00:00"/>
    <s v="1D"/>
    <s v="Halal"/>
    <x v="3"/>
    <x v="82"/>
    <s v="Unique"/>
  </r>
  <r>
    <s v="Morgan Lee"/>
    <s v="morgan.lee417@example.com"/>
    <x v="10"/>
    <x v="0"/>
    <d v="1899-12-30T19:00:00"/>
    <s v="1D"/>
    <s v="Halal"/>
    <x v="3"/>
    <x v="83"/>
    <s v="Unique"/>
  </r>
  <r>
    <s v="Morgan Johnson"/>
    <s v="morgan.johnson969@example.com"/>
    <x v="6"/>
    <x v="1"/>
    <d v="1899-12-30T17:30:00"/>
    <s v="1D"/>
    <m/>
    <x v="3"/>
    <x v="84"/>
    <s v="Unique"/>
  </r>
  <r>
    <s v="Riley Brown"/>
    <s v="riley.brown30@example.com"/>
    <x v="1"/>
    <x v="5"/>
    <d v="1899-12-30T12:00:00"/>
    <s v="1D"/>
    <s v="Vegan"/>
    <x v="3"/>
    <x v="85"/>
    <s v="Unique"/>
  </r>
  <r>
    <s v="Jordan Clark"/>
    <s v="jordan.clark211@example.com"/>
    <x v="6"/>
    <x v="0"/>
    <d v="1899-12-30T21:30:00"/>
    <s v="20B"/>
    <s v="Vegan"/>
    <x v="3"/>
    <x v="86"/>
    <s v="Unique"/>
  </r>
  <r>
    <s v="Drew Wilson"/>
    <s v="drew.wilson386@example.com"/>
    <x v="7"/>
    <x v="0"/>
    <d v="1899-12-30T05:30:00"/>
    <s v="20C"/>
    <s v=" "/>
    <x v="3"/>
    <x v="87"/>
    <s v="Unique"/>
  </r>
  <r>
    <s v="Jesse Lewis"/>
    <s v="jesse.lewis824@example.com"/>
    <x v="5"/>
    <x v="0"/>
    <d v="1899-12-30T13:00:00"/>
    <s v="20C"/>
    <s v="None"/>
    <x v="3"/>
    <x v="88"/>
    <s v="Unique"/>
  </r>
  <r>
    <s v="Jesse Johnson"/>
    <s v="jesse.johnson771@example.com"/>
    <x v="11"/>
    <x v="1"/>
    <d v="1899-12-30T07:00:00"/>
    <s v="20D"/>
    <s v=" "/>
    <x v="3"/>
    <x v="89"/>
    <s v="Unique"/>
  </r>
  <r>
    <s v="Chris Allen"/>
    <s v="chris.allen895@example.com"/>
    <x v="3"/>
    <x v="6"/>
    <d v="1899-12-30T10:00:00"/>
    <s v="20D"/>
    <s v="Vegetarian"/>
    <x v="3"/>
    <x v="90"/>
    <s v="Unique"/>
  </r>
  <r>
    <s v="Drew Lee"/>
    <s v="drew.lee970@example.com"/>
    <x v="1"/>
    <x v="6"/>
    <d v="1899-12-30T16:30:00"/>
    <s v="20D"/>
    <s v=" "/>
    <x v="3"/>
    <x v="91"/>
    <s v="Unique"/>
  </r>
  <r>
    <s v="Riley Johnson"/>
    <s v="riley.johnson679@example.com"/>
    <x v="7"/>
    <x v="1"/>
    <d v="1899-12-30T20:00:00"/>
    <s v="21A"/>
    <s v=" "/>
    <x v="3"/>
    <x v="92"/>
    <s v="Duplicate"/>
  </r>
  <r>
    <s v="Riley Johnson"/>
    <s v="riley.johnson679@example.com"/>
    <x v="7"/>
    <x v="1"/>
    <d v="1899-12-30T20:00:00"/>
    <s v="21A"/>
    <s v=" "/>
    <x v="3"/>
    <x v="92"/>
    <s v="Duplicate"/>
  </r>
  <r>
    <s v="Jordan Brown"/>
    <s v="jordan.brown455@example.com"/>
    <x v="3"/>
    <x v="2"/>
    <d v="1899-12-30T00:00:00"/>
    <s v="21A"/>
    <s v="Halal"/>
    <x v="3"/>
    <x v="93"/>
    <s v="Unique"/>
  </r>
  <r>
    <s v="Morgan Hall"/>
    <s v="morgan.hall48@example.com"/>
    <x v="7"/>
    <x v="3"/>
    <d v="1899-12-30T09:30:00"/>
    <s v="21A"/>
    <s v="None"/>
    <x v="3"/>
    <x v="94"/>
    <s v="Unique"/>
  </r>
  <r>
    <s v="Jordan Wilson"/>
    <s v="jordan.wilson512@example.com"/>
    <x v="1"/>
    <x v="5"/>
    <d v="1899-12-30T09:00:00"/>
    <s v="21B"/>
    <s v="Kosher"/>
    <x v="3"/>
    <x v="95"/>
    <s v="Unique"/>
  </r>
  <r>
    <s v="Casey Lewis"/>
    <s v="casey.lewis703@example.com"/>
    <x v="4"/>
    <x v="0"/>
    <d v="1899-12-30T02:00:00"/>
    <s v="21B"/>
    <s v="Vegan"/>
    <x v="3"/>
    <x v="96"/>
    <s v="Unique"/>
  </r>
  <r>
    <s v="Chris Clark"/>
    <s v="chris.clark526@example.com"/>
    <x v="10"/>
    <x v="0"/>
    <d v="1899-12-30T00:30:00"/>
    <s v="21B"/>
    <s v="Halal"/>
    <x v="3"/>
    <x v="97"/>
    <s v="Unique"/>
  </r>
  <r>
    <s v="Jamie Brown"/>
    <s v="jamie.brown738@example.com"/>
    <x v="8"/>
    <x v="5"/>
    <d v="1899-12-30T21:30:00"/>
    <s v="21D"/>
    <m/>
    <x v="3"/>
    <x v="98"/>
    <s v="Duplicate"/>
  </r>
  <r>
    <s v="Jesse Hall"/>
    <s v="jesse.hall978@example.com"/>
    <x v="11"/>
    <x v="3"/>
    <d v="1899-12-30T18:00:00"/>
    <s v="21D"/>
    <s v="None"/>
    <x v="3"/>
    <x v="99"/>
    <s v="Unique"/>
  </r>
  <r>
    <s v="Jamie Brown"/>
    <s v="jamie.brown738@example.com"/>
    <x v="8"/>
    <x v="5"/>
    <d v="1899-12-30T21:30:00"/>
    <s v="21D"/>
    <m/>
    <x v="3"/>
    <x v="98"/>
    <s v="Duplicate"/>
  </r>
  <r>
    <s v="Taylor Lee"/>
    <s v="taylor.lee371@example.com"/>
    <x v="2"/>
    <x v="2"/>
    <d v="1899-12-30T23:00:00"/>
    <s v="22A"/>
    <s v="Kosher"/>
    <x v="3"/>
    <x v="100"/>
    <s v="Duplicate"/>
  </r>
  <r>
    <s v="Taylor Lee"/>
    <s v="taylor.lee371@example.com"/>
    <x v="2"/>
    <x v="2"/>
    <d v="1899-12-30T23:00:00"/>
    <s v="22A"/>
    <s v="Kosher"/>
    <x v="3"/>
    <x v="100"/>
    <s v="Duplicate"/>
  </r>
  <r>
    <s v="Morgan Smith"/>
    <s v="morgan.smith73@example.com"/>
    <x v="11"/>
    <x v="2"/>
    <d v="1899-12-30T04:00:00"/>
    <s v="22A"/>
    <s v="None"/>
    <x v="3"/>
    <x v="101"/>
    <s v="Unique"/>
  </r>
  <r>
    <s v="Riley Walker"/>
    <s v="riley.walker327@example.com"/>
    <x v="4"/>
    <x v="6"/>
    <d v="1899-12-30T12:00:00"/>
    <s v="22A"/>
    <m/>
    <x v="3"/>
    <x v="102"/>
    <s v="Duplicate"/>
  </r>
  <r>
    <s v="Morgan Brown"/>
    <s v="morgan.brown286@example.com"/>
    <x v="10"/>
    <x v="4"/>
    <d v="1899-12-30T18:30:00"/>
    <s v="22A"/>
    <s v="Kosher"/>
    <x v="3"/>
    <x v="103"/>
    <s v="Unique"/>
  </r>
  <r>
    <s v="Riley Walker"/>
    <s v="riley.walker327@example.com"/>
    <x v="4"/>
    <x v="6"/>
    <d v="1899-12-30T12:00:00"/>
    <s v="22A"/>
    <m/>
    <x v="3"/>
    <x v="102"/>
    <s v="Duplicate"/>
  </r>
  <r>
    <s v="Jordan Smith"/>
    <s v="jordan.smith306@example.com"/>
    <x v="8"/>
    <x v="0"/>
    <d v="1899-12-30T13:00:00"/>
    <s v="22D"/>
    <s v="Halal"/>
    <x v="3"/>
    <x v="104"/>
    <s v="Unique"/>
  </r>
  <r>
    <s v="Jordan Hall"/>
    <s v="jordan.hall739@example.com"/>
    <x v="6"/>
    <x v="0"/>
    <d v="1899-12-30T07:30:00"/>
    <s v="22D"/>
    <s v="Kosher"/>
    <x v="3"/>
    <x v="105"/>
    <s v="Unique"/>
  </r>
  <r>
    <s v="Riley Johnson"/>
    <s v="riley.johnson347@example.com"/>
    <x v="2"/>
    <x v="2"/>
    <d v="1899-12-30T20:00:00"/>
    <s v="22D"/>
    <s v="Halal"/>
    <x v="3"/>
    <x v="106"/>
    <s v="Unique"/>
  </r>
  <r>
    <s v="Riley Smith"/>
    <s v="riley.smith651@example.com"/>
    <x v="7"/>
    <x v="6"/>
    <d v="1899-12-30T23:00:00"/>
    <s v="23A"/>
    <s v="Halal"/>
    <x v="3"/>
    <x v="107"/>
    <s v="Unique"/>
  </r>
  <r>
    <s v="Riley Allen"/>
    <s v="riley.allen577@example.com"/>
    <x v="4"/>
    <x v="3"/>
    <d v="1899-12-30T21:30:00"/>
    <s v="23A"/>
    <s v="Vegetarian"/>
    <x v="3"/>
    <x v="108"/>
    <s v="Unique"/>
  </r>
  <r>
    <s v="Riley Brown"/>
    <s v="riley.brown481@example.com"/>
    <x v="10"/>
    <x v="2"/>
    <d v="1899-12-30T08:00:00"/>
    <s v="23A"/>
    <s v="Halal"/>
    <x v="3"/>
    <x v="109"/>
    <s v="Unique"/>
  </r>
  <r>
    <s v="Taylor Walker"/>
    <s v="taylor.walker296@example.com"/>
    <x v="3"/>
    <x v="4"/>
    <d v="1899-12-30T14:00:00"/>
    <s v="23A"/>
    <s v="Kosher"/>
    <x v="3"/>
    <x v="110"/>
    <s v="Unique"/>
  </r>
  <r>
    <s v="Jamie Walker"/>
    <s v="jamie.walker609@example.com"/>
    <x v="10"/>
    <x v="4"/>
    <d v="1899-12-30T18:30:00"/>
    <s v="23B"/>
    <s v=" "/>
    <x v="3"/>
    <x v="111"/>
    <s v="Duplicate"/>
  </r>
  <r>
    <s v="Jamie Walker"/>
    <s v="jamie.walker609@example.com"/>
    <x v="10"/>
    <x v="4"/>
    <d v="1899-12-30T18:30:00"/>
    <s v="23B"/>
    <s v=" "/>
    <x v="3"/>
    <x v="111"/>
    <s v="Duplicate"/>
  </r>
  <r>
    <s v="Casey Allen"/>
    <s v="casey.allen76@example.com"/>
    <x v="3"/>
    <x v="6"/>
    <d v="1899-12-30T08:30:00"/>
    <s v="23B"/>
    <s v=" "/>
    <x v="3"/>
    <x v="112"/>
    <s v="Duplicate"/>
  </r>
  <r>
    <s v="Casey Allen"/>
    <s v="casey.allen76@example.com"/>
    <x v="3"/>
    <x v="6"/>
    <d v="1899-12-30T08:30:00"/>
    <s v="23B"/>
    <s v=" "/>
    <x v="3"/>
    <x v="112"/>
    <s v="Duplicate"/>
  </r>
  <r>
    <s v="Jordan Allen"/>
    <s v="jordan.allen520@example.com"/>
    <x v="6"/>
    <x v="4"/>
    <d v="1899-12-30T07:00:00"/>
    <s v="23C"/>
    <s v="Vegan"/>
    <x v="3"/>
    <x v="113"/>
    <s v="Unique"/>
  </r>
  <r>
    <s v="Morgan Brown"/>
    <s v="morgan.brown791@example.com"/>
    <x v="2"/>
    <x v="2"/>
    <d v="1899-12-30T04:00:00"/>
    <s v="23C"/>
    <s v=" "/>
    <x v="3"/>
    <x v="114"/>
    <s v="Unique"/>
  </r>
  <r>
    <s v="Jamie Wilson"/>
    <s v="jamie.wilson342@example.com"/>
    <x v="3"/>
    <x v="3"/>
    <d v="1899-12-30T09:00:00"/>
    <s v="23C"/>
    <m/>
    <x v="3"/>
    <x v="115"/>
    <s v="Unique"/>
  </r>
  <r>
    <s v="Alex Wilson"/>
    <s v="alex.wilson853@example.com"/>
    <x v="7"/>
    <x v="0"/>
    <d v="1899-12-30T22:30:00"/>
    <s v="23C"/>
    <s v=" "/>
    <x v="3"/>
    <x v="116"/>
    <s v="Unique"/>
  </r>
  <r>
    <s v="Jesse Clark"/>
    <s v="jesse.clark485@example.com"/>
    <x v="9"/>
    <x v="5"/>
    <d v="1899-12-30T13:30:00"/>
    <s v="23D"/>
    <s v="Halal"/>
    <x v="3"/>
    <x v="117"/>
    <s v="Unique"/>
  </r>
  <r>
    <s v="Casey Walker"/>
    <s v="casey.walker622@example.com"/>
    <x v="10"/>
    <x v="0"/>
    <d v="1899-12-30T06:00:00"/>
    <s v="23D"/>
    <s v="Vegan"/>
    <x v="3"/>
    <x v="118"/>
    <s v="Duplicate"/>
  </r>
  <r>
    <s v="Casey Walker"/>
    <s v="casey.walker622@example.com"/>
    <x v="10"/>
    <x v="0"/>
    <d v="1899-12-30T06:00:00"/>
    <s v="23D"/>
    <s v="Vegan"/>
    <x v="3"/>
    <x v="118"/>
    <s v="Duplicate"/>
  </r>
  <r>
    <s v="Riley Johnson"/>
    <s v="riley.johnson232@example.com"/>
    <x v="8"/>
    <x v="5"/>
    <d v="1899-12-30T15:00:00"/>
    <s v="23D"/>
    <s v=" "/>
    <x v="3"/>
    <x v="119"/>
    <s v="Unique"/>
  </r>
  <r>
    <s v="Chris Johnson"/>
    <s v="chris.johnson457@example.com"/>
    <x v="2"/>
    <x v="2"/>
    <d v="1899-12-30T05:30:00"/>
    <s v="23D"/>
    <s v="Vegan"/>
    <x v="3"/>
    <x v="120"/>
    <s v="Unique"/>
  </r>
  <r>
    <s v="Jordan Lee"/>
    <s v="jordan.lee357@example.com"/>
    <x v="8"/>
    <x v="6"/>
    <d v="1899-12-30T06:30:00"/>
    <s v="23D"/>
    <s v="Vegan"/>
    <x v="3"/>
    <x v="121"/>
    <s v="Unique"/>
  </r>
  <r>
    <s v="Chris Lee"/>
    <s v="chris.lee860@example.com"/>
    <x v="0"/>
    <x v="2"/>
    <d v="1899-12-30T06:00:00"/>
    <s v="23D"/>
    <s v="Vegan"/>
    <x v="3"/>
    <x v="122"/>
    <s v="Unique"/>
  </r>
  <r>
    <s v="Alex Lewis"/>
    <s v="alex.lewis586@example.com"/>
    <x v="9"/>
    <x v="1"/>
    <d v="1899-12-30T04:00:00"/>
    <s v="24A"/>
    <s v="Kosher"/>
    <x v="3"/>
    <x v="123"/>
    <s v="Unique"/>
  </r>
  <r>
    <s v="Taylor Hall"/>
    <s v="taylor.hall37@example.com"/>
    <x v="5"/>
    <x v="5"/>
    <d v="1899-12-30T19:00:00"/>
    <s v="24A"/>
    <s v="Halal"/>
    <x v="3"/>
    <x v="124"/>
    <s v="Unique"/>
  </r>
  <r>
    <s v="Jesse Brown"/>
    <s v="jesse.brown689@example.com"/>
    <x v="3"/>
    <x v="6"/>
    <d v="1899-12-30T16:30:00"/>
    <s v="24B"/>
    <s v="None"/>
    <x v="3"/>
    <x v="125"/>
    <s v="Unique"/>
  </r>
  <r>
    <s v="Morgan Johnson"/>
    <s v="morgan.johnson82@example.com"/>
    <x v="6"/>
    <x v="1"/>
    <d v="1899-12-30T19:30:00"/>
    <s v="24B"/>
    <s v="Halal"/>
    <x v="1"/>
    <x v="126"/>
    <s v="Unique"/>
  </r>
  <r>
    <s v="Casey Lee"/>
    <s v="casey.lee167@example.com"/>
    <x v="3"/>
    <x v="1"/>
    <d v="1899-12-30T12:30:00"/>
    <s v="24B"/>
    <s v="Kosher"/>
    <x v="3"/>
    <x v="127"/>
    <s v="Unique"/>
  </r>
  <r>
    <s v="Taylor Allen"/>
    <s v="taylor.allen695@example.com"/>
    <x v="10"/>
    <x v="3"/>
    <d v="1899-12-30T02:00:00"/>
    <s v="24C"/>
    <s v="Kosher"/>
    <x v="3"/>
    <x v="128"/>
    <s v="Unique"/>
  </r>
  <r>
    <s v="Taylor Lee"/>
    <s v="taylor.lee337@example.com"/>
    <x v="5"/>
    <x v="0"/>
    <d v="1899-12-30T23:00:00"/>
    <s v="24C"/>
    <s v="Vegetarian"/>
    <x v="3"/>
    <x v="129"/>
    <s v="Unique"/>
  </r>
  <r>
    <s v="Alex Wilson"/>
    <s v="alex.wilson293@example.com"/>
    <x v="5"/>
    <x v="1"/>
    <d v="1899-12-30T23:30:00"/>
    <s v="24D"/>
    <s v="Kosher"/>
    <x v="3"/>
    <x v="130"/>
    <s v="Unique"/>
  </r>
  <r>
    <s v="Alex Johnson"/>
    <s v="alex.johnson505@example.com"/>
    <x v="4"/>
    <x v="3"/>
    <d v="1899-12-30T21:00:00"/>
    <s v="24D"/>
    <s v="None"/>
    <x v="3"/>
    <x v="131"/>
    <s v="Unique"/>
  </r>
  <r>
    <s v="Casey Lewis"/>
    <s v="casey.lewis463@example.com"/>
    <x v="4"/>
    <x v="2"/>
    <d v="1899-12-30T07:30:00"/>
    <s v="24D"/>
    <s v="Kosher"/>
    <x v="3"/>
    <x v="132"/>
    <s v="Unique"/>
  </r>
  <r>
    <s v="Casey Lewis"/>
    <s v="casey.lewis462@example.com"/>
    <x v="1"/>
    <x v="0"/>
    <d v="1899-12-30T10:00:00"/>
    <s v="25A"/>
    <s v="None"/>
    <x v="3"/>
    <x v="133"/>
    <s v="Unique"/>
  </r>
  <r>
    <s v="Casey Hall"/>
    <s v="casey.hall327@example.com"/>
    <x v="11"/>
    <x v="0"/>
    <d v="1899-12-30T04:30:00"/>
    <s v="25B"/>
    <s v=" "/>
    <x v="3"/>
    <x v="134"/>
    <s v="Unique"/>
  </r>
  <r>
    <s v="Jesse Lewis"/>
    <s v="jesse.lewis354@example.com"/>
    <x v="11"/>
    <x v="1"/>
    <d v="1899-12-30T13:00:00"/>
    <s v="25B"/>
    <s v="Halal"/>
    <x v="3"/>
    <x v="135"/>
    <s v="Unique"/>
  </r>
  <r>
    <s v="Alex Wilson"/>
    <s v="alex.wilson232@example.com"/>
    <x v="11"/>
    <x v="6"/>
    <d v="1899-12-30T04:00:00"/>
    <s v="25C"/>
    <s v="Vegetarian"/>
    <x v="3"/>
    <x v="136"/>
    <s v="Unique"/>
  </r>
  <r>
    <s v="Morgan Walker"/>
    <s v="morgan.walker450@example.com"/>
    <x v="9"/>
    <x v="5"/>
    <d v="1899-12-30T06:30:00"/>
    <s v="25D"/>
    <s v=" "/>
    <x v="3"/>
    <x v="137"/>
    <s v="Unique"/>
  </r>
  <r>
    <s v="Riley Smith"/>
    <s v="riley.smith294@example.com"/>
    <x v="7"/>
    <x v="4"/>
    <d v="1899-12-30T23:30:00"/>
    <s v="25D"/>
    <s v=" "/>
    <x v="3"/>
    <x v="138"/>
    <s v="Duplicate"/>
  </r>
  <r>
    <s v="Riley Smith"/>
    <s v="riley.smith294@example.com"/>
    <x v="7"/>
    <x v="4"/>
    <d v="1899-12-30T23:30:00"/>
    <s v="25D"/>
    <s v=" "/>
    <x v="3"/>
    <x v="138"/>
    <s v="Duplicate"/>
  </r>
  <r>
    <s v="Riley Clark"/>
    <s v="riley.clark247@example.com"/>
    <x v="5"/>
    <x v="6"/>
    <d v="1899-12-30T09:00:00"/>
    <s v="25D"/>
    <s v=" "/>
    <x v="3"/>
    <x v="139"/>
    <s v="Unique"/>
  </r>
  <r>
    <s v="Chris Allen"/>
    <s v="chris.allen499@example.com"/>
    <x v="9"/>
    <x v="2"/>
    <d v="1899-12-30T01:00:00"/>
    <s v="26A"/>
    <s v="Vegan"/>
    <x v="3"/>
    <x v="140"/>
    <s v="Duplicate"/>
  </r>
  <r>
    <s v="Jamie Lewis"/>
    <s v="jamie.lewis742@example.com"/>
    <x v="3"/>
    <x v="1"/>
    <d v="1899-12-30T04:00:00"/>
    <s v="26A"/>
    <s v="Vegan"/>
    <x v="3"/>
    <x v="141"/>
    <s v="Duplicate"/>
  </r>
  <r>
    <s v="Jamie Lewis"/>
    <s v="jamie.lewis742@example.com"/>
    <x v="3"/>
    <x v="1"/>
    <d v="1899-12-30T04:00:00"/>
    <s v="26A"/>
    <s v="Vegan"/>
    <x v="3"/>
    <x v="141"/>
    <s v="Duplicate"/>
  </r>
  <r>
    <s v="Jamie Smith"/>
    <s v="jamie.smith567@example.com"/>
    <x v="9"/>
    <x v="4"/>
    <d v="1899-12-30T01:00:00"/>
    <s v="26A"/>
    <s v="Halal"/>
    <x v="3"/>
    <x v="142"/>
    <s v="Unique"/>
  </r>
  <r>
    <s v="Jamie Walker"/>
    <s v="jamie.walker998@example.com"/>
    <x v="11"/>
    <x v="3"/>
    <d v="1899-12-30T09:00:00"/>
    <s v="26A"/>
    <s v="None"/>
    <x v="3"/>
    <x v="143"/>
    <s v="Unique"/>
  </r>
  <r>
    <s v="Chris Allen"/>
    <s v="chris.allen499@example.com"/>
    <x v="9"/>
    <x v="2"/>
    <d v="1899-12-30T01:00:00"/>
    <s v="26A"/>
    <s v="Vegan"/>
    <x v="3"/>
    <x v="140"/>
    <s v="Duplicate"/>
  </r>
  <r>
    <s v="Drew Clark"/>
    <s v="drew.clark841@example.com"/>
    <x v="0"/>
    <x v="5"/>
    <d v="1899-12-30T02:30:00"/>
    <s v="26B"/>
    <s v=" "/>
    <x v="3"/>
    <x v="144"/>
    <s v="Unique"/>
  </r>
  <r>
    <s v="Jesse Smith"/>
    <s v="jesse.smith573@example.com"/>
    <x v="10"/>
    <x v="2"/>
    <d v="1899-12-30T23:00:00"/>
    <s v="26C"/>
    <s v=" "/>
    <x v="3"/>
    <x v="145"/>
    <s v="Unique"/>
  </r>
  <r>
    <s v="Casey Brown"/>
    <s v="casey.brown250@example.com"/>
    <x v="7"/>
    <x v="5"/>
    <d v="1899-12-30T16:00:00"/>
    <s v="26C"/>
    <m/>
    <x v="3"/>
    <x v="146"/>
    <s v="Duplicate"/>
  </r>
  <r>
    <s v="Casey Brown"/>
    <s v="casey.brown250@example.com"/>
    <x v="7"/>
    <x v="5"/>
    <d v="1899-12-30T16:00:00"/>
    <s v="26C"/>
    <m/>
    <x v="3"/>
    <x v="146"/>
    <s v="Duplicate"/>
  </r>
  <r>
    <s v="Riley Clark"/>
    <s v="riley.clark574@example.com"/>
    <x v="11"/>
    <x v="6"/>
    <d v="1899-12-30T03:30:00"/>
    <s v="26C"/>
    <s v=" "/>
    <x v="3"/>
    <x v="147"/>
    <s v="Duplicate"/>
  </r>
  <r>
    <s v="Riley Clark"/>
    <s v="riley.clark574@example.com"/>
    <x v="11"/>
    <x v="6"/>
    <d v="1899-12-30T03:30:00"/>
    <s v="26C"/>
    <s v=" "/>
    <x v="3"/>
    <x v="147"/>
    <s v="Duplicate"/>
  </r>
  <r>
    <s v="Jesse Smith"/>
    <s v="jesse.smith446@example.com"/>
    <x v="1"/>
    <x v="4"/>
    <d v="1899-12-30T05:30:00"/>
    <s v="26C"/>
    <s v="Halal"/>
    <x v="3"/>
    <x v="148"/>
    <s v="Unique"/>
  </r>
  <r>
    <s v="Casey Hall"/>
    <s v="casey.hall51@example.com"/>
    <x v="1"/>
    <x v="6"/>
    <d v="1899-12-30T05:00:00"/>
    <s v="26D"/>
    <s v="None"/>
    <x v="3"/>
    <x v="149"/>
    <s v="Unique"/>
  </r>
  <r>
    <s v="Taylor Walker"/>
    <s v="taylor.walker805@example.com"/>
    <x v="4"/>
    <x v="4"/>
    <d v="1899-12-30T20:30:00"/>
    <s v="26D"/>
    <s v="Kosher"/>
    <x v="3"/>
    <x v="150"/>
    <s v="Duplicate"/>
  </r>
  <r>
    <s v="Taylor Walker"/>
    <s v="taylor.walker805@example.com"/>
    <x v="4"/>
    <x v="4"/>
    <d v="1899-12-30T20:30:00"/>
    <s v="26D"/>
    <s v="Kosher"/>
    <x v="3"/>
    <x v="150"/>
    <s v="Duplicate"/>
  </r>
  <r>
    <s v="Jordan Lewis"/>
    <s v="jordan.lewis221@example.com"/>
    <x v="10"/>
    <x v="1"/>
    <d v="1899-12-30T12:30:00"/>
    <s v="27A"/>
    <m/>
    <x v="3"/>
    <x v="151"/>
    <s v="Unique"/>
  </r>
  <r>
    <s v="Drew Walker"/>
    <s v="drew.walker247@example.com"/>
    <x v="6"/>
    <x v="6"/>
    <d v="1899-12-30T08:00:00"/>
    <s v="27B"/>
    <s v="Kosher"/>
    <x v="3"/>
    <x v="152"/>
    <s v="Duplicate"/>
  </r>
  <r>
    <s v="Chris Walker"/>
    <s v="chris.walker422@example.com"/>
    <x v="9"/>
    <x v="0"/>
    <d v="1899-12-30T14:30:00"/>
    <s v="27B"/>
    <m/>
    <x v="3"/>
    <x v="153"/>
    <s v="Duplicate"/>
  </r>
  <r>
    <s v="Chris Walker"/>
    <s v="chris.walker422@example.com"/>
    <x v="9"/>
    <x v="0"/>
    <d v="1899-12-30T14:30:00"/>
    <s v="27B"/>
    <m/>
    <x v="3"/>
    <x v="153"/>
    <s v="Duplicate"/>
  </r>
  <r>
    <s v="Jordan Lewis"/>
    <s v="jordan.lewis410@example.com"/>
    <x v="10"/>
    <x v="6"/>
    <d v="1899-12-30T22:30:00"/>
    <s v="27B"/>
    <s v="Vegan"/>
    <x v="3"/>
    <x v="154"/>
    <s v="Unique"/>
  </r>
  <r>
    <s v="Jordan Clark"/>
    <s v="jordan.clark263@example.com"/>
    <x v="4"/>
    <x v="2"/>
    <d v="1899-12-30T13:30:00"/>
    <s v="27B"/>
    <s v="Kosher"/>
    <x v="3"/>
    <x v="155"/>
    <s v="Unique"/>
  </r>
  <r>
    <s v="Drew Walker"/>
    <s v="drew.walker247@example.com"/>
    <x v="6"/>
    <x v="6"/>
    <d v="1899-12-30T08:00:00"/>
    <s v="27B"/>
    <s v="Kosher"/>
    <x v="3"/>
    <x v="152"/>
    <s v="Duplicate"/>
  </r>
  <r>
    <s v="Jordan Brown"/>
    <s v="jordan.brown510@example.com"/>
    <x v="6"/>
    <x v="5"/>
    <d v="1899-12-30T17:00:00"/>
    <s v="27C"/>
    <s v="Vegetarian"/>
    <x v="3"/>
    <x v="156"/>
    <s v="Unique"/>
  </r>
  <r>
    <s v="Alex Walker"/>
    <s v="alex.walker322@example.com"/>
    <x v="7"/>
    <x v="4"/>
    <d v="1899-12-30T22:00:00"/>
    <s v="27D"/>
    <s v=" "/>
    <x v="3"/>
    <x v="157"/>
    <s v="Unique"/>
  </r>
  <r>
    <s v="Taylor Wilson"/>
    <s v="taylor.wilson835@example.com"/>
    <x v="7"/>
    <x v="5"/>
    <d v="1899-12-30T13:30:00"/>
    <s v="27D"/>
    <s v="Kosher"/>
    <x v="3"/>
    <x v="158"/>
    <s v="Unique"/>
  </r>
  <r>
    <s v="Jamie Johnson"/>
    <s v="jamie.johnson747@example.com"/>
    <x v="7"/>
    <x v="5"/>
    <d v="1899-12-30T16:30:00"/>
    <s v="27D"/>
    <s v=" "/>
    <x v="3"/>
    <x v="159"/>
    <s v="Unique"/>
  </r>
  <r>
    <s v="Riley Allen"/>
    <s v="riley.allen585@example.com"/>
    <x v="1"/>
    <x v="2"/>
    <d v="1899-12-30T21:30:00"/>
    <s v="28A"/>
    <s v="None"/>
    <x v="3"/>
    <x v="160"/>
    <s v="Unique"/>
  </r>
  <r>
    <s v="Jordan Clark"/>
    <s v="jordan.clark609@example.com"/>
    <x v="2"/>
    <x v="0"/>
    <d v="1899-12-30T07:00:00"/>
    <s v="28B"/>
    <s v="Vegan"/>
    <x v="3"/>
    <x v="161"/>
    <s v="Unique"/>
  </r>
  <r>
    <s v="Taylor Wilson"/>
    <s v="taylor.wilson828@example.com"/>
    <x v="6"/>
    <x v="4"/>
    <d v="1899-12-30T07:00:00"/>
    <s v="28B"/>
    <s v=" "/>
    <x v="3"/>
    <x v="162"/>
    <s v="Unique"/>
  </r>
  <r>
    <s v="Casey Walker"/>
    <s v="casey.walker109@example.com"/>
    <x v="7"/>
    <x v="6"/>
    <d v="1899-12-30T22:00:00"/>
    <s v="28B"/>
    <m/>
    <x v="3"/>
    <x v="163"/>
    <s v="Unique"/>
  </r>
  <r>
    <s v="Alex Wilson"/>
    <s v="alex.wilson259@example.com"/>
    <x v="2"/>
    <x v="1"/>
    <d v="1899-12-30T22:30:00"/>
    <s v="28D"/>
    <s v=" "/>
    <x v="3"/>
    <x v="164"/>
    <s v="Unique"/>
  </r>
  <r>
    <s v="Taylor Brown"/>
    <s v="taylor.brown62@example.com"/>
    <x v="3"/>
    <x v="1"/>
    <d v="1899-12-30T19:30:00"/>
    <s v="29A"/>
    <s v="Kosher"/>
    <x v="3"/>
    <x v="165"/>
    <s v="Duplicate"/>
  </r>
  <r>
    <s v="Riley Wilson"/>
    <s v="riley.wilson126@example.com"/>
    <x v="3"/>
    <x v="1"/>
    <d v="1899-12-30T08:00:00"/>
    <s v="29A"/>
    <s v=" "/>
    <x v="3"/>
    <x v="166"/>
    <s v="Unique"/>
  </r>
  <r>
    <s v="Taylor Brown"/>
    <s v="taylor.brown62@example.com"/>
    <x v="3"/>
    <x v="1"/>
    <d v="1899-12-30T19:30:00"/>
    <s v="29A"/>
    <s v="Kosher"/>
    <x v="3"/>
    <x v="165"/>
    <s v="Duplicate"/>
  </r>
  <r>
    <s v="Jesse Smith"/>
    <s v="jesse.smith620@example.com"/>
    <x v="3"/>
    <x v="2"/>
    <d v="1899-12-30T11:30:00"/>
    <s v="29A"/>
    <s v="None"/>
    <x v="3"/>
    <x v="167"/>
    <s v="Unique"/>
  </r>
  <r>
    <s v="Jordan Brown"/>
    <s v="jordan.brown2@example.com"/>
    <x v="6"/>
    <x v="0"/>
    <d v="1899-12-30T03:00:00"/>
    <s v="29A"/>
    <s v="Vegan"/>
    <x v="3"/>
    <x v="168"/>
    <s v="Duplicate"/>
  </r>
  <r>
    <s v="Casey Allen"/>
    <s v="casey.allen785@example.com"/>
    <x v="0"/>
    <x v="4"/>
    <d v="1899-12-30T02:00:00"/>
    <s v="29A"/>
    <s v="Vegetarian"/>
    <x v="3"/>
    <x v="169"/>
    <s v="Unique"/>
  </r>
  <r>
    <s v="Jordan Brown"/>
    <s v="jordan.brown2@example.com"/>
    <x v="6"/>
    <x v="0"/>
    <d v="1899-12-30T03:00:00"/>
    <s v="29A"/>
    <s v="Vegan"/>
    <x v="3"/>
    <x v="168"/>
    <s v="Duplicate"/>
  </r>
  <r>
    <s v="Jordan Smith"/>
    <s v="jordan.smith413@example.com"/>
    <x v="11"/>
    <x v="6"/>
    <d v="1899-12-30T16:00:00"/>
    <s v="29B"/>
    <s v="Kosher"/>
    <x v="3"/>
    <x v="170"/>
    <s v="Unique"/>
  </r>
  <r>
    <s v="Taylor Walker"/>
    <s v="taylor.walker106@example.com"/>
    <x v="0"/>
    <x v="5"/>
    <d v="1899-12-30T15:30:00"/>
    <s v="29C"/>
    <s v="Vegetarian"/>
    <x v="3"/>
    <x v="171"/>
    <s v="Duplicate"/>
  </r>
  <r>
    <s v="Morgan Brown"/>
    <s v="morgan.brown471@example.com"/>
    <x v="10"/>
    <x v="1"/>
    <d v="1899-12-30T02:30:00"/>
    <s v="29C"/>
    <s v="Vegan"/>
    <x v="3"/>
    <x v="172"/>
    <s v="Duplicate"/>
  </r>
  <r>
    <s v="Morgan Lewis"/>
    <s v="morgan.lewis284@example.com"/>
    <x v="5"/>
    <x v="4"/>
    <d v="1899-12-30T15:30:00"/>
    <s v="29C"/>
    <s v=" "/>
    <x v="3"/>
    <x v="173"/>
    <s v="Duplicate"/>
  </r>
  <r>
    <s v="Taylor Walker"/>
    <s v="taylor.walker106@example.com"/>
    <x v="0"/>
    <x v="5"/>
    <d v="1899-12-30T15:30:00"/>
    <s v="29C"/>
    <s v="Vegetarian"/>
    <x v="3"/>
    <x v="171"/>
    <s v="Duplicate"/>
  </r>
  <r>
    <s v="Morgan Lewis"/>
    <s v="morgan.lewis284@example.com"/>
    <x v="5"/>
    <x v="4"/>
    <d v="1899-12-30T15:30:00"/>
    <s v="29C"/>
    <s v=" "/>
    <x v="3"/>
    <x v="173"/>
    <s v="Duplicate"/>
  </r>
  <r>
    <s v="Morgan Brown"/>
    <s v="morgan.brown471@example.com"/>
    <x v="10"/>
    <x v="1"/>
    <d v="1899-12-30T02:30:00"/>
    <s v="29C"/>
    <s v="Vegan"/>
    <x v="3"/>
    <x v="172"/>
    <s v="Duplicate"/>
  </r>
  <r>
    <s v="Taylor Lee"/>
    <s v="taylor.lee656@example.com"/>
    <x v="1"/>
    <x v="0"/>
    <d v="1899-12-30T00:00:00"/>
    <s v="29D"/>
    <s v="Kosher"/>
    <x v="3"/>
    <x v="174"/>
    <s v="Unique"/>
  </r>
  <r>
    <s v="Drew Walker"/>
    <s v="drew.walker383@example.com"/>
    <x v="0"/>
    <x v="5"/>
    <d v="1899-12-30T21:30:00"/>
    <s v="2A"/>
    <s v="None"/>
    <x v="3"/>
    <x v="175"/>
    <s v="Unique"/>
  </r>
  <r>
    <s v="Riley Wilson"/>
    <s v="riley.wilson751@example.com"/>
    <x v="9"/>
    <x v="1"/>
    <d v="1899-12-30T03:00:00"/>
    <s v="2B"/>
    <s v="None"/>
    <x v="3"/>
    <x v="176"/>
    <s v="Unique"/>
  </r>
  <r>
    <s v="Morgan Lee"/>
    <s v="morgan.lee971@example.com"/>
    <x v="7"/>
    <x v="3"/>
    <d v="1899-12-30T16:00:00"/>
    <s v="2B"/>
    <s v="Vegan"/>
    <x v="3"/>
    <x v="177"/>
    <s v="Duplicate"/>
  </r>
  <r>
    <s v="Taylor Hall"/>
    <s v="taylor.hall376@example.com"/>
    <x v="7"/>
    <x v="6"/>
    <d v="1899-12-30T07:00:00"/>
    <s v="2B"/>
    <s v="Kosher"/>
    <x v="3"/>
    <x v="178"/>
    <s v="Unique"/>
  </r>
  <r>
    <s v="Jamie Walker"/>
    <s v="jamie.walker922@example.com"/>
    <x v="9"/>
    <x v="0"/>
    <d v="1899-12-30T16:00:00"/>
    <s v="2B"/>
    <s v="None"/>
    <x v="3"/>
    <x v="179"/>
    <s v="Duplicate"/>
  </r>
  <r>
    <s v="Jamie Walker"/>
    <s v="jamie.walker922@example.com"/>
    <x v="9"/>
    <x v="0"/>
    <d v="1899-12-30T16:00:00"/>
    <s v="2B"/>
    <s v="None"/>
    <x v="3"/>
    <x v="179"/>
    <s v="Duplicate"/>
  </r>
  <r>
    <s v="Morgan Lee"/>
    <s v="morgan.lee971@example.com"/>
    <x v="7"/>
    <x v="3"/>
    <d v="1899-12-30T16:00:00"/>
    <s v="2B"/>
    <s v="Vegan"/>
    <x v="3"/>
    <x v="177"/>
    <s v="Duplicate"/>
  </r>
  <r>
    <s v="Jordan Johnson"/>
    <s v="jordan.johnson844@example.com"/>
    <x v="1"/>
    <x v="2"/>
    <d v="1899-12-30T06:00:00"/>
    <s v="2B"/>
    <s v="Vegetarian"/>
    <x v="3"/>
    <x v="180"/>
    <s v="Unique"/>
  </r>
  <r>
    <s v="Casey Clark"/>
    <s v="casey.clark708@example.com"/>
    <x v="6"/>
    <x v="3"/>
    <d v="1899-12-30T08:30:00"/>
    <s v="2C"/>
    <s v=" "/>
    <x v="3"/>
    <x v="181"/>
    <s v="Duplicate"/>
  </r>
  <r>
    <s v="Casey Clark"/>
    <s v="casey.clark708@example.com"/>
    <x v="6"/>
    <x v="3"/>
    <d v="1899-12-30T08:30:00"/>
    <s v="2C"/>
    <s v=" "/>
    <x v="3"/>
    <x v="181"/>
    <s v="Duplicate"/>
  </r>
  <r>
    <s v="Drew Lewis"/>
    <s v="drew.lewis13@example.com"/>
    <x v="0"/>
    <x v="5"/>
    <d v="1899-12-30T17:30:00"/>
    <s v="2D"/>
    <s v=" "/>
    <x v="3"/>
    <x v="182"/>
    <s v="Unique"/>
  </r>
  <r>
    <s v="Taylor Walker"/>
    <s v="taylor.walker713@example.com"/>
    <x v="10"/>
    <x v="2"/>
    <d v="1899-12-30T03:00:00"/>
    <s v="30A"/>
    <s v="Halal"/>
    <x v="3"/>
    <x v="183"/>
    <s v="Duplicate"/>
  </r>
  <r>
    <s v="Riley Allen"/>
    <s v="riley.allen482@example.com"/>
    <x v="8"/>
    <x v="3"/>
    <d v="1899-12-30T05:30:00"/>
    <s v="30A"/>
    <m/>
    <x v="3"/>
    <x v="184"/>
    <s v="Duplicate"/>
  </r>
  <r>
    <s v="Taylor Walker"/>
    <s v="taylor.walker713@example.com"/>
    <x v="10"/>
    <x v="2"/>
    <d v="1899-12-30T03:00:00"/>
    <s v="30A"/>
    <s v="Halal"/>
    <x v="3"/>
    <x v="183"/>
    <s v="Duplicate"/>
  </r>
  <r>
    <s v="Riley Allen"/>
    <s v="riley.allen482@example.com"/>
    <x v="8"/>
    <x v="3"/>
    <d v="1899-12-30T05:30:00"/>
    <s v="30A"/>
    <m/>
    <x v="3"/>
    <x v="184"/>
    <s v="Duplicate"/>
  </r>
  <r>
    <s v="Morgan Walker"/>
    <s v="morgan.walker829@example.com"/>
    <x v="3"/>
    <x v="3"/>
    <d v="1899-12-30T03:00:00"/>
    <s v="30A"/>
    <s v="Vegetarian"/>
    <x v="3"/>
    <x v="185"/>
    <s v="Unique"/>
  </r>
  <r>
    <s v="Casey Johnson"/>
    <s v="casey.johnson465@example.com"/>
    <x v="4"/>
    <x v="2"/>
    <d v="1899-12-30T15:30:00"/>
    <s v="30B"/>
    <s v="Halal"/>
    <x v="3"/>
    <x v="186"/>
    <s v="Unique"/>
  </r>
  <r>
    <s v="Riley Smith"/>
    <s v="riley.smith378@example.com"/>
    <x v="6"/>
    <x v="6"/>
    <d v="1899-12-30T23:00:00"/>
    <s v="30C"/>
    <s v="None"/>
    <x v="3"/>
    <x v="187"/>
    <s v="Duplicate"/>
  </r>
  <r>
    <s v="Jesse Wilson"/>
    <s v="jesse.wilson407@example.com"/>
    <x v="6"/>
    <x v="5"/>
    <d v="1899-12-30T09:30:00"/>
    <s v="30C"/>
    <s v="Halal"/>
    <x v="3"/>
    <x v="188"/>
    <s v="Unique"/>
  </r>
  <r>
    <s v="Casey Lee"/>
    <s v="casey.lee888@example.com"/>
    <x v="10"/>
    <x v="4"/>
    <d v="1899-12-30T17:30:00"/>
    <s v="30C"/>
    <s v="Halal"/>
    <x v="3"/>
    <x v="189"/>
    <s v="Duplicate"/>
  </r>
  <r>
    <s v="Drew Clark"/>
    <s v="drew.clark93@example.com"/>
    <x v="7"/>
    <x v="3"/>
    <d v="1899-12-30T17:00:00"/>
    <s v="30C"/>
    <m/>
    <x v="3"/>
    <x v="190"/>
    <s v="Unique"/>
  </r>
  <r>
    <s v="Jordan Lewis"/>
    <s v="jordan.lewis894@example.com"/>
    <x v="0"/>
    <x v="1"/>
    <d v="1899-12-30T07:00:00"/>
    <s v="30C"/>
    <s v="Halal"/>
    <x v="3"/>
    <x v="191"/>
    <s v="Unique"/>
  </r>
  <r>
    <s v="Casey Lee"/>
    <s v="casey.lee888@example.com"/>
    <x v="10"/>
    <x v="4"/>
    <d v="1899-12-30T17:30:00"/>
    <s v="30C"/>
    <s v="Halal"/>
    <x v="3"/>
    <x v="189"/>
    <s v="Duplicate"/>
  </r>
  <r>
    <s v="Riley Smith"/>
    <s v="riley.smith378@example.com"/>
    <x v="6"/>
    <x v="6"/>
    <d v="1899-12-30T23:00:00"/>
    <s v="30C"/>
    <s v="None"/>
    <x v="3"/>
    <x v="187"/>
    <s v="Duplicate"/>
  </r>
  <r>
    <s v="Drew Smith"/>
    <s v="drew.smith312@example.com"/>
    <x v="8"/>
    <x v="4"/>
    <d v="1899-12-30T18:30:00"/>
    <s v="30D"/>
    <s v="Kosher"/>
    <x v="3"/>
    <x v="192"/>
    <s v="Unique"/>
  </r>
  <r>
    <s v="Taylor Johnson"/>
    <s v="taylor.johnson640@example.com"/>
    <x v="1"/>
    <x v="5"/>
    <d v="1899-12-30T12:30:00"/>
    <s v="30D"/>
    <s v="Vegan"/>
    <x v="3"/>
    <x v="193"/>
    <s v="Unique"/>
  </r>
  <r>
    <s v="Drew Clark"/>
    <s v="drew.clark575@example.com"/>
    <x v="1"/>
    <x v="5"/>
    <d v="1899-12-30T09:00:00"/>
    <s v="31A"/>
    <s v="Halal"/>
    <x v="3"/>
    <x v="194"/>
    <s v="Unique"/>
  </r>
  <r>
    <s v="Jamie Hall"/>
    <s v="jamie.hall849@example.com"/>
    <x v="9"/>
    <x v="5"/>
    <d v="1899-12-30T22:30:00"/>
    <s v="31A"/>
    <s v="Halal"/>
    <x v="3"/>
    <x v="195"/>
    <s v="Unique"/>
  </r>
  <r>
    <s v="Alex Hall"/>
    <s v="alex.hall232@example.com"/>
    <x v="1"/>
    <x v="4"/>
    <d v="1899-12-30T14:30:00"/>
    <s v="31A"/>
    <m/>
    <x v="3"/>
    <x v="196"/>
    <s v="Unique"/>
  </r>
  <r>
    <s v="Riley Lee"/>
    <s v="riley.lee65@example.com"/>
    <x v="3"/>
    <x v="0"/>
    <d v="1899-12-30T13:30:00"/>
    <s v="31A"/>
    <s v="Halal"/>
    <x v="3"/>
    <x v="197"/>
    <s v="Unique"/>
  </r>
  <r>
    <s v="Jordan Smith"/>
    <s v="jordan.smith773@example.com"/>
    <x v="0"/>
    <x v="4"/>
    <d v="1899-12-30T13:00:00"/>
    <s v="31A"/>
    <s v="None"/>
    <x v="3"/>
    <x v="198"/>
    <s v="Unique"/>
  </r>
  <r>
    <s v="Alex Walker"/>
    <s v="alex.walker911@example.com"/>
    <x v="1"/>
    <x v="5"/>
    <d v="1899-12-30T20:30:00"/>
    <s v="31B"/>
    <s v=" "/>
    <x v="3"/>
    <x v="199"/>
    <s v="Duplicate"/>
  </r>
  <r>
    <s v="Alex Walker"/>
    <s v="alex.walker911@example.com"/>
    <x v="1"/>
    <x v="5"/>
    <d v="1899-12-30T20:30:00"/>
    <s v="31B"/>
    <s v=" "/>
    <x v="3"/>
    <x v="199"/>
    <s v="Duplicate"/>
  </r>
  <r>
    <s v="Taylor Smith"/>
    <s v="taylor.smith988@example.com"/>
    <x v="9"/>
    <x v="4"/>
    <d v="1899-12-30T20:30:00"/>
    <s v="31B"/>
    <s v=" "/>
    <x v="3"/>
    <x v="200"/>
    <s v="Unique"/>
  </r>
  <r>
    <s v="Morgan Johnson"/>
    <s v="morgan.johnson686@example.com"/>
    <x v="10"/>
    <x v="4"/>
    <d v="1899-12-30T12:30:00"/>
    <s v="31D"/>
    <s v="Vegetarian"/>
    <x v="3"/>
    <x v="201"/>
    <s v="Duplicate"/>
  </r>
  <r>
    <s v="Morgan Johnson"/>
    <s v="morgan.johnson686@example.com"/>
    <x v="10"/>
    <x v="4"/>
    <d v="1899-12-30T12:30:00"/>
    <s v="31D"/>
    <s v="Vegetarian"/>
    <x v="3"/>
    <x v="201"/>
    <s v="Duplicate"/>
  </r>
  <r>
    <s v="Casey Lewis"/>
    <s v="casey.lewis552@example.com"/>
    <x v="11"/>
    <x v="2"/>
    <d v="1899-12-30T20:00:00"/>
    <s v="32A"/>
    <s v="Kosher"/>
    <x v="3"/>
    <x v="202"/>
    <s v="Unique"/>
  </r>
  <r>
    <s v="Jesse Lewis"/>
    <s v="jesse.lewis798@example.com"/>
    <x v="5"/>
    <x v="5"/>
    <d v="1899-12-30T23:00:00"/>
    <s v="32A"/>
    <s v="Kosher"/>
    <x v="3"/>
    <x v="203"/>
    <s v="Unique"/>
  </r>
  <r>
    <s v="Drew Johnson"/>
    <s v="drew.johnson26@example.com"/>
    <x v="9"/>
    <x v="1"/>
    <d v="1899-12-30T16:30:00"/>
    <s v="32A"/>
    <s v="Halal"/>
    <x v="3"/>
    <x v="204"/>
    <s v="Duplicate"/>
  </r>
  <r>
    <s v="Drew Johnson"/>
    <s v="drew.johnson26@example.com"/>
    <x v="9"/>
    <x v="1"/>
    <d v="1899-12-30T16:30:00"/>
    <s v="32A"/>
    <s v="Halal"/>
    <x v="3"/>
    <x v="204"/>
    <s v="Duplicate"/>
  </r>
  <r>
    <s v="Alex Wilson"/>
    <s v="alex.wilson430@example.com"/>
    <x v="1"/>
    <x v="1"/>
    <d v="1899-12-30T02:00:00"/>
    <s v="32A"/>
    <m/>
    <x v="3"/>
    <x v="205"/>
    <s v="Unique"/>
  </r>
  <r>
    <s v="Casey Lewis"/>
    <s v="casey.lewis611@example.com"/>
    <x v="3"/>
    <x v="5"/>
    <d v="1899-12-30T13:00:00"/>
    <s v="32B"/>
    <s v="None"/>
    <x v="3"/>
    <x v="206"/>
    <s v="Unique"/>
  </r>
  <r>
    <s v="Drew Wilson"/>
    <s v="drew.wilson646@example.com"/>
    <x v="9"/>
    <x v="1"/>
    <d v="1899-12-30T19:30:00"/>
    <s v="32C"/>
    <s v="None"/>
    <x v="3"/>
    <x v="207"/>
    <s v="Unique"/>
  </r>
  <r>
    <s v="Alex Clark"/>
    <s v="alex.clark971@example.com"/>
    <x v="2"/>
    <x v="5"/>
    <d v="1899-12-30T10:00:00"/>
    <s v="32C"/>
    <s v="Vegetarian"/>
    <x v="3"/>
    <x v="208"/>
    <s v="Unique"/>
  </r>
  <r>
    <s v="Taylor Wilson"/>
    <s v="taylor.wilson338@example.com"/>
    <x v="6"/>
    <x v="0"/>
    <d v="1899-12-30T20:30:00"/>
    <s v="32D"/>
    <s v="Kosher"/>
    <x v="3"/>
    <x v="209"/>
    <s v="Unique"/>
  </r>
  <r>
    <s v="Chris Lewis"/>
    <s v="chris.lewis997@example.com"/>
    <x v="6"/>
    <x v="5"/>
    <d v="1899-12-30T11:30:00"/>
    <s v="32D"/>
    <s v="None"/>
    <x v="3"/>
    <x v="210"/>
    <s v="Unique"/>
  </r>
  <r>
    <s v="Alex Clark"/>
    <s v="alex.clark411@example.com"/>
    <x v="8"/>
    <x v="3"/>
    <d v="1899-12-30T22:30:00"/>
    <s v="32D"/>
    <m/>
    <x v="1"/>
    <x v="211"/>
    <s v="Unique"/>
  </r>
  <r>
    <s v="Alex Allen"/>
    <s v="alex.allen65@example.com"/>
    <x v="11"/>
    <x v="5"/>
    <d v="1899-12-30T12:00:00"/>
    <s v="33A"/>
    <s v="Halal"/>
    <x v="3"/>
    <x v="212"/>
    <s v="Unique"/>
  </r>
  <r>
    <s v="Casey Hall"/>
    <s v="casey.hall117@example.com"/>
    <x v="11"/>
    <x v="3"/>
    <d v="1899-12-30T14:30:00"/>
    <s v="33A"/>
    <s v="Kosher"/>
    <x v="3"/>
    <x v="213"/>
    <s v="Unique"/>
  </r>
  <r>
    <s v="Riley Walker"/>
    <s v="riley.walker250@example.com"/>
    <x v="10"/>
    <x v="5"/>
    <d v="1899-12-30T07:00:00"/>
    <s v="33B"/>
    <s v=" "/>
    <x v="3"/>
    <x v="214"/>
    <s v="Unique"/>
  </r>
  <r>
    <s v="Casey Brown"/>
    <s v="casey.brown656@example.com"/>
    <x v="9"/>
    <x v="5"/>
    <d v="1899-12-30T17:00:00"/>
    <s v="33B"/>
    <s v=" "/>
    <x v="3"/>
    <x v="215"/>
    <s v="Unique"/>
  </r>
  <r>
    <s v="Taylor Smith"/>
    <s v="taylor.smith462@example.com"/>
    <x v="4"/>
    <x v="1"/>
    <d v="1899-12-30T22:00:00"/>
    <s v="33B"/>
    <s v="Vegan"/>
    <x v="3"/>
    <x v="216"/>
    <s v="Unique"/>
  </r>
  <r>
    <s v="Jordan Smith"/>
    <s v="jordan.smith344@example.com"/>
    <x v="7"/>
    <x v="6"/>
    <d v="1899-12-30T17:00:00"/>
    <s v="33C"/>
    <s v="Vegan"/>
    <x v="3"/>
    <x v="217"/>
    <s v="Unique"/>
  </r>
  <r>
    <s v="Morgan Clark"/>
    <s v="morgan.clark695@example.com"/>
    <x v="2"/>
    <x v="0"/>
    <d v="1899-12-30T09:30:00"/>
    <s v="33D"/>
    <s v="Vegetarian"/>
    <x v="3"/>
    <x v="218"/>
    <s v="Duplicate"/>
  </r>
  <r>
    <s v="Morgan Clark"/>
    <s v="morgan.clark695@example.com"/>
    <x v="2"/>
    <x v="0"/>
    <d v="1899-12-30T09:30:00"/>
    <s v="33D"/>
    <s v="Vegetarian"/>
    <x v="3"/>
    <x v="218"/>
    <s v="Duplicate"/>
  </r>
  <r>
    <s v="Taylor Clark"/>
    <s v="taylor.clark174@example.com"/>
    <x v="3"/>
    <x v="2"/>
    <d v="1899-12-30T05:00:00"/>
    <s v="34A"/>
    <s v=" "/>
    <x v="3"/>
    <x v="219"/>
    <s v="Unique"/>
  </r>
  <r>
    <s v="Jesse Lewis"/>
    <s v="jesse.lewis192@example.com"/>
    <x v="1"/>
    <x v="2"/>
    <d v="1899-12-30T21:30:00"/>
    <s v="34A"/>
    <s v="Kosher"/>
    <x v="3"/>
    <x v="220"/>
    <s v="Unique"/>
  </r>
  <r>
    <s v="Chris Clark"/>
    <s v="chris.clark883@example.com"/>
    <x v="8"/>
    <x v="6"/>
    <d v="1899-12-30T06:00:00"/>
    <s v="34B"/>
    <s v="Vegan"/>
    <x v="3"/>
    <x v="221"/>
    <s v="Unique"/>
  </r>
  <r>
    <s v="Jesse Hall"/>
    <s v="jesse.hall63@example.com"/>
    <x v="11"/>
    <x v="6"/>
    <d v="1899-12-30T01:30:00"/>
    <s v="34B"/>
    <s v="Vegan"/>
    <x v="3"/>
    <x v="222"/>
    <s v="Duplicate"/>
  </r>
  <r>
    <s v="Jesse Hall"/>
    <s v="jesse.hall63@example.com"/>
    <x v="11"/>
    <x v="6"/>
    <d v="1899-12-30T01:30:00"/>
    <s v="34B"/>
    <s v="Vegan"/>
    <x v="3"/>
    <x v="222"/>
    <s v="Duplicate"/>
  </r>
  <r>
    <s v="Jesse Johnson"/>
    <s v="jesse.johnson503@example.com"/>
    <x v="2"/>
    <x v="5"/>
    <d v="1899-12-30T02:30:00"/>
    <s v="34B"/>
    <s v="Vegetarian"/>
    <x v="3"/>
    <x v="223"/>
    <s v="Unique"/>
  </r>
  <r>
    <s v="Drew Walker"/>
    <s v="drew.walker776@example.com"/>
    <x v="9"/>
    <x v="1"/>
    <d v="1899-12-30T04:00:00"/>
    <s v="34C"/>
    <s v="Vegan"/>
    <x v="3"/>
    <x v="224"/>
    <s v="Unique"/>
  </r>
  <r>
    <s v="Jesse Brown"/>
    <s v="jesse.brown64@example.com"/>
    <x v="9"/>
    <x v="5"/>
    <d v="1899-12-30T22:00:00"/>
    <s v="34D"/>
    <s v="Vegan"/>
    <x v="3"/>
    <x v="225"/>
    <s v="Unique"/>
  </r>
  <r>
    <s v="Drew Lee"/>
    <s v="drew.lee627@example.com"/>
    <x v="4"/>
    <x v="3"/>
    <d v="1899-12-30T12:30:00"/>
    <s v="34D"/>
    <s v=" "/>
    <x v="3"/>
    <x v="226"/>
    <s v="Unique"/>
  </r>
  <r>
    <s v="Alex Lee"/>
    <s v="alex.lee532@example.com"/>
    <x v="6"/>
    <x v="5"/>
    <d v="1899-12-30T21:30:00"/>
    <s v="34D"/>
    <s v="Halal"/>
    <x v="3"/>
    <x v="227"/>
    <s v="Unique"/>
  </r>
  <r>
    <s v="Taylor Johnson"/>
    <s v="taylor.johnson474@example.com"/>
    <x v="6"/>
    <x v="1"/>
    <d v="1899-12-30T20:00:00"/>
    <s v="35A"/>
    <s v="Vegan"/>
    <x v="3"/>
    <x v="228"/>
    <s v="Duplicate"/>
  </r>
  <r>
    <s v="Jordan Smith"/>
    <s v="jordan.smith760@example.com"/>
    <x v="8"/>
    <x v="4"/>
    <d v="1899-12-30T03:00:00"/>
    <s v="35A"/>
    <s v="None"/>
    <x v="1"/>
    <x v="229"/>
    <s v="Duplicate"/>
  </r>
  <r>
    <s v="Taylor Johnson"/>
    <s v="taylor.johnson474@example.com"/>
    <x v="6"/>
    <x v="1"/>
    <d v="1899-12-30T20:00:00"/>
    <s v="35A"/>
    <s v="Vegan"/>
    <x v="3"/>
    <x v="228"/>
    <s v="Duplicate"/>
  </r>
  <r>
    <s v="Alex Wilson"/>
    <s v="alex.wilson593@example.com"/>
    <x v="4"/>
    <x v="3"/>
    <d v="1899-12-30T11:00:00"/>
    <s v="35A"/>
    <s v="Vegan"/>
    <x v="3"/>
    <x v="230"/>
    <s v="Unique"/>
  </r>
  <r>
    <s v="Riley Brown"/>
    <s v="riley.brown731@example.com"/>
    <x v="8"/>
    <x v="4"/>
    <d v="1899-12-30T10:30:00"/>
    <s v="35A"/>
    <s v="Vegetarian"/>
    <x v="3"/>
    <x v="231"/>
    <s v="Unique"/>
  </r>
  <r>
    <s v="Casey Brown"/>
    <s v="casey.brown460@example.com"/>
    <x v="2"/>
    <x v="0"/>
    <d v="1899-12-30T17:30:00"/>
    <s v="35A"/>
    <s v=" "/>
    <x v="3"/>
    <x v="232"/>
    <s v="Unique"/>
  </r>
  <r>
    <s v="Jordan Smith"/>
    <s v="jordan.smith760@example.com"/>
    <x v="8"/>
    <x v="4"/>
    <d v="1899-12-30T03:00:00"/>
    <s v="35A"/>
    <s v="None"/>
    <x v="1"/>
    <x v="229"/>
    <s v="Duplicate"/>
  </r>
  <r>
    <s v="Alex Wilson"/>
    <s v="alex.wilson211@example.com"/>
    <x v="8"/>
    <x v="1"/>
    <d v="1899-12-30T10:00:00"/>
    <s v="35B"/>
    <s v="Halal"/>
    <x v="3"/>
    <x v="233"/>
    <s v="Unique"/>
  </r>
  <r>
    <s v="Casey Johnson"/>
    <s v="casey.johnson837@example.com"/>
    <x v="7"/>
    <x v="6"/>
    <d v="1899-12-30T10:00:00"/>
    <s v="35B"/>
    <m/>
    <x v="3"/>
    <x v="234"/>
    <s v="Unique"/>
  </r>
  <r>
    <s v="Taylor Brown"/>
    <s v="taylor.brown579@example.com"/>
    <x v="0"/>
    <x v="1"/>
    <d v="1899-12-30T17:00:00"/>
    <s v="35C"/>
    <s v="Vegetarian"/>
    <x v="3"/>
    <x v="235"/>
    <s v="Duplicate"/>
  </r>
  <r>
    <s v="Taylor Brown"/>
    <s v="taylor.brown579@example.com"/>
    <x v="0"/>
    <x v="1"/>
    <d v="1899-12-30T17:00:00"/>
    <s v="35C"/>
    <s v="Vegetarian"/>
    <x v="3"/>
    <x v="235"/>
    <s v="Duplicate"/>
  </r>
  <r>
    <s v="Casey Brown"/>
    <s v="casey.brown307@example.com"/>
    <x v="3"/>
    <x v="5"/>
    <d v="1899-12-30T10:30:00"/>
    <s v="35C"/>
    <s v="Kosher"/>
    <x v="3"/>
    <x v="236"/>
    <s v="Unique"/>
  </r>
  <r>
    <s v="Jamie Wilson"/>
    <s v="jamie.wilson455@example.com"/>
    <x v="10"/>
    <x v="4"/>
    <d v="1899-12-30T03:30:00"/>
    <s v="35C"/>
    <s v="Vegan"/>
    <x v="3"/>
    <x v="237"/>
    <s v="Duplicate"/>
  </r>
  <r>
    <s v="Riley Allen"/>
    <s v="riley.allen761@example.com"/>
    <x v="10"/>
    <x v="5"/>
    <d v="1899-12-30T22:00:00"/>
    <s v="35C"/>
    <s v="None"/>
    <x v="3"/>
    <x v="238"/>
    <s v="Unique"/>
  </r>
  <r>
    <s v="Jamie Wilson"/>
    <s v="jamie.wilson455@example.com"/>
    <x v="10"/>
    <x v="4"/>
    <d v="1899-12-30T03:30:00"/>
    <s v="35C"/>
    <s v="Vegan"/>
    <x v="3"/>
    <x v="237"/>
    <s v="Duplicate"/>
  </r>
  <r>
    <s v="Jesse Wilson"/>
    <s v="jesse.wilson567@example.com"/>
    <x v="0"/>
    <x v="1"/>
    <d v="1899-12-30T16:30:00"/>
    <s v="35D"/>
    <s v="None"/>
    <x v="3"/>
    <x v="239"/>
    <s v="Unique"/>
  </r>
  <r>
    <s v="Casey Lewis"/>
    <s v="casey.lewis83@example.com"/>
    <x v="1"/>
    <x v="2"/>
    <d v="1899-12-30T23:30:00"/>
    <s v="35D"/>
    <s v="None"/>
    <x v="3"/>
    <x v="240"/>
    <s v="Unique"/>
  </r>
  <r>
    <s v="Taylor Wilson"/>
    <s v="taylor.wilson855@example.com"/>
    <x v="0"/>
    <x v="1"/>
    <d v="1899-12-30T05:30:00"/>
    <s v="35D"/>
    <s v="None"/>
    <x v="3"/>
    <x v="241"/>
    <s v="Unique"/>
  </r>
  <r>
    <s v="Taylor Wilson"/>
    <s v="taylor.wilson393@example.com"/>
    <x v="11"/>
    <x v="4"/>
    <d v="1899-12-30T14:30:00"/>
    <s v="35D"/>
    <s v="Kosher"/>
    <x v="3"/>
    <x v="242"/>
    <s v="Unique"/>
  </r>
  <r>
    <s v="Morgan Smith"/>
    <s v="morgan.smith811@example.com"/>
    <x v="6"/>
    <x v="3"/>
    <d v="1899-12-30T09:30:00"/>
    <s v="35D"/>
    <s v="Halal"/>
    <x v="3"/>
    <x v="243"/>
    <s v="Unique"/>
  </r>
  <r>
    <s v="Morgan Clark"/>
    <s v="morgan.clark971@example.com"/>
    <x v="9"/>
    <x v="6"/>
    <d v="1899-12-30T05:00:00"/>
    <s v="36C"/>
    <s v="Vegetarian"/>
    <x v="3"/>
    <x v="244"/>
    <s v="Unique"/>
  </r>
  <r>
    <s v="Taylor Allen"/>
    <s v="taylor.allen265@example.com"/>
    <x v="5"/>
    <x v="2"/>
    <d v="1899-12-30T02:30:00"/>
    <s v="36C"/>
    <s v=" "/>
    <x v="3"/>
    <x v="245"/>
    <s v="Unique"/>
  </r>
  <r>
    <s v="Jamie Hall"/>
    <s v="jamie.hall230@example.com"/>
    <x v="4"/>
    <x v="4"/>
    <d v="1899-12-30T16:30:00"/>
    <s v="36C"/>
    <s v="Kosher"/>
    <x v="3"/>
    <x v="246"/>
    <s v="Unique"/>
  </r>
  <r>
    <s v="Taylor Johnson"/>
    <s v="taylor.johnson15@example.com"/>
    <x v="11"/>
    <x v="5"/>
    <d v="1899-12-30T05:00:00"/>
    <s v="36C"/>
    <m/>
    <x v="3"/>
    <x v="247"/>
    <s v="Unique"/>
  </r>
  <r>
    <s v="Jamie Lewis"/>
    <s v="jamie.lewis47@example.com"/>
    <x v="2"/>
    <x v="1"/>
    <d v="1899-12-30T12:00:00"/>
    <s v="36D"/>
    <s v="Halal"/>
    <x v="3"/>
    <x v="248"/>
    <s v="Unique"/>
  </r>
  <r>
    <s v="Chris Walker"/>
    <s v="chris.walker369@example.com"/>
    <x v="8"/>
    <x v="3"/>
    <d v="1899-12-30T14:00:00"/>
    <s v="36D"/>
    <s v="Vegan"/>
    <x v="3"/>
    <x v="249"/>
    <s v="Unique"/>
  </r>
  <r>
    <s v="Taylor Walker"/>
    <s v="taylor.walker684@example.com"/>
    <x v="9"/>
    <x v="5"/>
    <d v="1899-12-30T14:30:00"/>
    <s v="36D"/>
    <s v="Vegetarian"/>
    <x v="3"/>
    <x v="250"/>
    <s v="Unique"/>
  </r>
  <r>
    <s v="Jesse Allen"/>
    <s v="jesse.allen676@example.com"/>
    <x v="10"/>
    <x v="1"/>
    <d v="1899-12-30T20:30:00"/>
    <s v="36D"/>
    <s v="Kosher"/>
    <x v="3"/>
    <x v="251"/>
    <s v="Unique"/>
  </r>
  <r>
    <s v="Drew Brown"/>
    <s v="drew.brown872@example.com"/>
    <x v="3"/>
    <x v="3"/>
    <d v="1899-12-30T23:00:00"/>
    <s v="37B"/>
    <s v="None"/>
    <x v="3"/>
    <x v="252"/>
    <s v="Unique"/>
  </r>
  <r>
    <s v="Riley Clark"/>
    <s v="riley.clark39@example.com"/>
    <x v="4"/>
    <x v="3"/>
    <d v="1899-12-30T03:30:00"/>
    <s v="37B"/>
    <s v="Halal"/>
    <x v="3"/>
    <x v="253"/>
    <s v="Unique"/>
  </r>
  <r>
    <s v="Jesse Lee"/>
    <s v="jesse.lee776@example.com"/>
    <x v="9"/>
    <x v="4"/>
    <d v="1899-12-30T05:00:00"/>
    <s v="37B"/>
    <m/>
    <x v="3"/>
    <x v="254"/>
    <s v="Unique"/>
  </r>
  <r>
    <s v="Morgan Walker"/>
    <s v="morgan.walker322@example.com"/>
    <x v="3"/>
    <x v="0"/>
    <d v="1899-12-30T09:30:00"/>
    <s v="37B"/>
    <s v="Halal"/>
    <x v="3"/>
    <x v="255"/>
    <s v="Unique"/>
  </r>
  <r>
    <s v="Taylor Wilson"/>
    <s v="taylor.wilson150@example.com"/>
    <x v="11"/>
    <x v="6"/>
    <d v="1899-12-30T23:30:00"/>
    <s v="37C"/>
    <m/>
    <x v="3"/>
    <x v="256"/>
    <s v="Unique"/>
  </r>
  <r>
    <s v="Casey Wilson"/>
    <s v="casey.wilson507@example.com"/>
    <x v="8"/>
    <x v="6"/>
    <d v="1899-12-30T10:00:00"/>
    <s v="37D"/>
    <s v=" "/>
    <x v="3"/>
    <x v="257"/>
    <s v="Duplicate"/>
  </r>
  <r>
    <s v="Casey Wilson"/>
    <s v="casey.wilson507@example.com"/>
    <x v="8"/>
    <x v="6"/>
    <d v="1899-12-30T10:00:00"/>
    <s v="37D"/>
    <s v=" "/>
    <x v="3"/>
    <x v="257"/>
    <s v="Duplicate"/>
  </r>
  <r>
    <s v="Taylor Smith"/>
    <s v="taylor.smith966@example.com"/>
    <x v="3"/>
    <x v="3"/>
    <d v="1899-12-30T18:30:00"/>
    <s v="37D"/>
    <s v="Vegetarian"/>
    <x v="3"/>
    <x v="258"/>
    <s v="Unique"/>
  </r>
  <r>
    <s v="Alex Walker"/>
    <s v="alex.walker944@example.com"/>
    <x v="4"/>
    <x v="1"/>
    <d v="1899-12-30T18:30:00"/>
    <s v="37D"/>
    <m/>
    <x v="3"/>
    <x v="259"/>
    <s v="Unique"/>
  </r>
  <r>
    <s v="Jordan Hall"/>
    <s v="jordan.hall882@example.com"/>
    <x v="5"/>
    <x v="3"/>
    <d v="1899-12-30T22:30:00"/>
    <s v="38A"/>
    <s v="Halal"/>
    <x v="3"/>
    <x v="260"/>
    <s v="Unique"/>
  </r>
  <r>
    <s v="Jamie Walker"/>
    <s v="jamie.walker259@example.com"/>
    <x v="6"/>
    <x v="0"/>
    <d v="1899-12-30T21:30:00"/>
    <s v="38A"/>
    <s v="Vegan"/>
    <x v="3"/>
    <x v="261"/>
    <s v="Unique"/>
  </r>
  <r>
    <s v="Chris Lewis"/>
    <s v="chris.lewis690@example.com"/>
    <x v="2"/>
    <x v="5"/>
    <d v="1899-12-30T02:00:00"/>
    <s v="38B"/>
    <s v="Kosher"/>
    <x v="3"/>
    <x v="262"/>
    <s v="Unique"/>
  </r>
  <r>
    <s v="Jordan Brown"/>
    <s v="jordan.brown96@example.com"/>
    <x v="7"/>
    <x v="3"/>
    <d v="1899-12-30T04:00:00"/>
    <s v="38C"/>
    <m/>
    <x v="3"/>
    <x v="263"/>
    <s v="Duplicate"/>
  </r>
  <r>
    <s v="Riley Lewis"/>
    <s v="riley.lewis396@example.com"/>
    <x v="1"/>
    <x v="1"/>
    <d v="1899-12-30T20:00:00"/>
    <s v="38C"/>
    <s v=" "/>
    <x v="3"/>
    <x v="264"/>
    <s v="Duplicate"/>
  </r>
  <r>
    <s v="Jordan Brown"/>
    <s v="jordan.brown96@example.com"/>
    <x v="7"/>
    <x v="3"/>
    <d v="1899-12-30T04:00:00"/>
    <s v="38C"/>
    <m/>
    <x v="3"/>
    <x v="263"/>
    <s v="Duplicate"/>
  </r>
  <r>
    <s v="Riley Lewis"/>
    <s v="riley.lewis396@example.com"/>
    <x v="1"/>
    <x v="1"/>
    <d v="1899-12-30T20:00:00"/>
    <s v="38C"/>
    <s v=" "/>
    <x v="3"/>
    <x v="264"/>
    <s v="Duplicate"/>
  </r>
  <r>
    <s v="Alex Lee"/>
    <s v="alex.lee482@example.com"/>
    <x v="9"/>
    <x v="2"/>
    <d v="1899-12-30T08:00:00"/>
    <s v="38D"/>
    <m/>
    <x v="3"/>
    <x v="265"/>
    <s v="Duplicate"/>
  </r>
  <r>
    <s v="Riley Lee"/>
    <s v="riley.lee272@example.com"/>
    <x v="3"/>
    <x v="4"/>
    <d v="1899-12-30T23:30:00"/>
    <s v="38D"/>
    <s v="Halal"/>
    <x v="1"/>
    <x v="266"/>
    <s v="Duplicate"/>
  </r>
  <r>
    <s v="Riley Lee"/>
    <s v="riley.lee272@example.com"/>
    <x v="3"/>
    <x v="4"/>
    <d v="1899-12-30T23:30:00"/>
    <s v="38D"/>
    <s v="Halal"/>
    <x v="1"/>
    <x v="266"/>
    <s v="Duplicate"/>
  </r>
  <r>
    <s v="Alex Lee"/>
    <s v="alex.lee482@example.com"/>
    <x v="9"/>
    <x v="2"/>
    <d v="1899-12-30T08:00:00"/>
    <s v="38D"/>
    <m/>
    <x v="3"/>
    <x v="265"/>
    <s v="Duplicate"/>
  </r>
  <r>
    <s v="Chris Smith"/>
    <s v="chris.smith339@example.com"/>
    <x v="10"/>
    <x v="2"/>
    <d v="1899-12-30T01:00:00"/>
    <s v="39A"/>
    <s v=" "/>
    <x v="3"/>
    <x v="267"/>
    <s v="Unique"/>
  </r>
  <r>
    <s v="Chris Lewis"/>
    <s v="chris.lewis966@example.com"/>
    <x v="8"/>
    <x v="5"/>
    <d v="1899-12-30T14:00:00"/>
    <s v="39A"/>
    <s v="Kosher"/>
    <x v="3"/>
    <x v="268"/>
    <s v="Unique"/>
  </r>
  <r>
    <s v="Jesse Lee"/>
    <s v="jesse.lee804@example.com"/>
    <x v="6"/>
    <x v="1"/>
    <d v="1899-12-30T01:30:00"/>
    <s v="39B"/>
    <s v="Halal"/>
    <x v="3"/>
    <x v="269"/>
    <s v="Unique"/>
  </r>
  <r>
    <s v="Riley Smith"/>
    <s v="riley.smith106@example.com"/>
    <x v="7"/>
    <x v="0"/>
    <d v="1899-12-30T09:00:00"/>
    <s v="39C"/>
    <s v="None"/>
    <x v="3"/>
    <x v="270"/>
    <s v="Duplicate"/>
  </r>
  <r>
    <s v="Riley Smith"/>
    <s v="riley.smith106@example.com"/>
    <x v="7"/>
    <x v="0"/>
    <d v="1899-12-30T09:00:00"/>
    <s v="39C"/>
    <s v="None"/>
    <x v="3"/>
    <x v="270"/>
    <s v="Duplicate"/>
  </r>
  <r>
    <s v="Jamie Lee"/>
    <s v="jamie.lee500@example.com"/>
    <x v="6"/>
    <x v="6"/>
    <d v="1899-12-30T10:30:00"/>
    <s v="39C"/>
    <s v="None"/>
    <x v="3"/>
    <x v="271"/>
    <s v="Unique"/>
  </r>
  <r>
    <s v="Jamie Wilson"/>
    <s v="jamie.wilson469@example.com"/>
    <x v="4"/>
    <x v="6"/>
    <d v="1899-12-30T16:30:00"/>
    <s v="39D"/>
    <s v="None"/>
    <x v="3"/>
    <x v="272"/>
    <s v="Unique"/>
  </r>
  <r>
    <s v="Riley Allen"/>
    <s v="riley.allen624@example.com"/>
    <x v="10"/>
    <x v="3"/>
    <d v="1899-12-30T17:30:00"/>
    <s v="39D"/>
    <s v="Vegan"/>
    <x v="3"/>
    <x v="273"/>
    <s v="Duplicate"/>
  </r>
  <r>
    <s v="Riley Allen"/>
    <s v="riley.allen624@example.com"/>
    <x v="10"/>
    <x v="3"/>
    <d v="1899-12-30T17:30:00"/>
    <s v="39D"/>
    <s v="Vegan"/>
    <x v="3"/>
    <x v="273"/>
    <s v="Duplicate"/>
  </r>
  <r>
    <s v="Jamie Clark"/>
    <s v="jamie.clark572@example.com"/>
    <x v="5"/>
    <x v="1"/>
    <d v="1899-12-30T04:30:00"/>
    <s v="3A"/>
    <s v="Vegetarian"/>
    <x v="3"/>
    <x v="274"/>
    <s v="Unique"/>
  </r>
  <r>
    <s v="Alex Allen"/>
    <s v="alex.allen492@example.com"/>
    <x v="3"/>
    <x v="5"/>
    <d v="1899-12-30T04:00:00"/>
    <s v="3A"/>
    <s v="Vegetarian"/>
    <x v="3"/>
    <x v="275"/>
    <s v="Unique"/>
  </r>
  <r>
    <s v="Chris Hall"/>
    <s v="chris.hall501@example.com"/>
    <x v="8"/>
    <x v="1"/>
    <d v="1899-12-30T02:30:00"/>
    <s v="3A"/>
    <s v="Halal"/>
    <x v="3"/>
    <x v="276"/>
    <s v="Unique"/>
  </r>
  <r>
    <s v="Jamie Wilson"/>
    <s v="jamie.wilson931@example.com"/>
    <x v="3"/>
    <x v="6"/>
    <d v="1899-12-30T14:00:00"/>
    <s v="3B"/>
    <m/>
    <x v="3"/>
    <x v="277"/>
    <s v="Unique"/>
  </r>
  <r>
    <s v="Riley Walker"/>
    <s v="riley.walker216@example.com"/>
    <x v="2"/>
    <x v="4"/>
    <d v="1899-12-30T00:00:00"/>
    <s v="3B"/>
    <s v="None"/>
    <x v="3"/>
    <x v="278"/>
    <s v="Unique"/>
  </r>
  <r>
    <s v="Alex Wilson"/>
    <s v="alex.wilson531@example.com"/>
    <x v="5"/>
    <x v="0"/>
    <d v="1899-12-30T14:00:00"/>
    <s v="3C"/>
    <s v="Vegan"/>
    <x v="3"/>
    <x v="279"/>
    <s v="Duplicate"/>
  </r>
  <r>
    <s v="Alex Wilson"/>
    <s v="alex.wilson531@example.com"/>
    <x v="5"/>
    <x v="0"/>
    <d v="1899-12-30T14:00:00"/>
    <s v="3C"/>
    <s v="Vegan"/>
    <x v="3"/>
    <x v="279"/>
    <s v="Duplicate"/>
  </r>
  <r>
    <s v="Jamie Wilson"/>
    <s v="jamie.wilson715@example.com"/>
    <x v="6"/>
    <x v="5"/>
    <d v="1899-12-30T07:30:00"/>
    <s v="3C"/>
    <m/>
    <x v="3"/>
    <x v="280"/>
    <s v="Unique"/>
  </r>
  <r>
    <s v="Alex Clark"/>
    <s v="alex.clark954@example.com"/>
    <x v="4"/>
    <x v="1"/>
    <d v="1899-12-30T04:00:00"/>
    <s v="3C"/>
    <s v=" "/>
    <x v="3"/>
    <x v="281"/>
    <s v="Duplicate"/>
  </r>
  <r>
    <s v="Drew Lewis"/>
    <s v="drew.lewis190@example.com"/>
    <x v="5"/>
    <x v="0"/>
    <d v="1899-12-30T05:30:00"/>
    <s v="3C"/>
    <s v="Kosher"/>
    <x v="3"/>
    <x v="282"/>
    <s v="Unique"/>
  </r>
  <r>
    <s v="Alex Clark"/>
    <s v="alex.clark954@example.com"/>
    <x v="4"/>
    <x v="1"/>
    <d v="1899-12-30T04:00:00"/>
    <s v="3C"/>
    <s v=" "/>
    <x v="3"/>
    <x v="281"/>
    <s v="Duplicate"/>
  </r>
  <r>
    <s v="Alex Walker"/>
    <s v="alex.walker560@example.com"/>
    <x v="6"/>
    <x v="0"/>
    <d v="1899-12-30T12:00:00"/>
    <s v="3D"/>
    <s v="Halal"/>
    <x v="3"/>
    <x v="283"/>
    <s v="Unique"/>
  </r>
  <r>
    <s v="Jamie Brown"/>
    <s v="jamie.brown95@example.com"/>
    <x v="7"/>
    <x v="3"/>
    <d v="1899-12-30T11:30:00"/>
    <s v="3D"/>
    <s v="None"/>
    <x v="1"/>
    <x v="284"/>
    <s v="Unique"/>
  </r>
  <r>
    <s v="Alex Wilson"/>
    <s v="alex.wilson48@example.com"/>
    <x v="10"/>
    <x v="6"/>
    <d v="1899-12-30T04:00:00"/>
    <s v="3D"/>
    <s v="Vegetarian"/>
    <x v="3"/>
    <x v="285"/>
    <s v="Duplicate"/>
  </r>
  <r>
    <s v="Alex Wilson"/>
    <s v="alex.wilson48@example.com"/>
    <x v="10"/>
    <x v="6"/>
    <d v="1899-12-30T04:00:00"/>
    <s v="3D"/>
    <s v="Vegetarian"/>
    <x v="3"/>
    <x v="285"/>
    <s v="Duplicate"/>
  </r>
  <r>
    <s v="Casey Brown"/>
    <s v="casey.brown679@example.com"/>
    <x v="9"/>
    <x v="6"/>
    <d v="1899-12-30T07:00:00"/>
    <s v="40A"/>
    <s v="Halal"/>
    <x v="3"/>
    <x v="286"/>
    <s v="Unique"/>
  </r>
  <r>
    <s v="Drew Lewis"/>
    <s v="drew.lewis462@example.com"/>
    <x v="10"/>
    <x v="6"/>
    <d v="1899-12-30T09:00:00"/>
    <s v="40A"/>
    <s v=" "/>
    <x v="3"/>
    <x v="287"/>
    <s v="Duplicate"/>
  </r>
  <r>
    <s v="Chris Wilson"/>
    <s v="chris.wilson826@example.com"/>
    <x v="6"/>
    <x v="4"/>
    <d v="1899-12-30T01:00:00"/>
    <s v="40A"/>
    <s v="Kosher"/>
    <x v="3"/>
    <x v="288"/>
    <s v="Duplicate"/>
  </r>
  <r>
    <s v="Chris Wilson"/>
    <s v="chris.wilson826@example.com"/>
    <x v="6"/>
    <x v="4"/>
    <d v="1899-12-30T01:00:00"/>
    <s v="40A"/>
    <s v="Kosher"/>
    <x v="3"/>
    <x v="288"/>
    <s v="Duplicate"/>
  </r>
  <r>
    <s v="Jamie Hall"/>
    <s v="jamie.hall609@example.com"/>
    <x v="1"/>
    <x v="3"/>
    <d v="1899-12-30T16:30:00"/>
    <s v="40A"/>
    <s v="None"/>
    <x v="3"/>
    <x v="289"/>
    <s v="Unique"/>
  </r>
  <r>
    <s v="Drew Lewis"/>
    <s v="drew.lewis462@example.com"/>
    <x v="10"/>
    <x v="6"/>
    <d v="1899-12-30T09:00:00"/>
    <s v="40A"/>
    <s v=" "/>
    <x v="3"/>
    <x v="287"/>
    <s v="Duplicate"/>
  </r>
  <r>
    <s v="Taylor Walker"/>
    <s v="taylor.walker144@example.com"/>
    <x v="11"/>
    <x v="2"/>
    <d v="1899-12-30T03:30:00"/>
    <s v="40B"/>
    <s v="Vegetarian"/>
    <x v="3"/>
    <x v="290"/>
    <s v="Unique"/>
  </r>
  <r>
    <s v="Taylor Allen"/>
    <s v="taylor.allen972@example.com"/>
    <x v="8"/>
    <x v="3"/>
    <d v="1899-12-30T02:30:00"/>
    <s v="40B"/>
    <s v=" "/>
    <x v="3"/>
    <x v="291"/>
    <s v="Unique"/>
  </r>
  <r>
    <s v="Chris Brown"/>
    <s v="chris.brown520@example.com"/>
    <x v="9"/>
    <x v="1"/>
    <d v="1899-12-30T11:30:00"/>
    <s v="40B"/>
    <s v="None"/>
    <x v="3"/>
    <x v="292"/>
    <s v="Unique"/>
  </r>
  <r>
    <s v="Riley Smith"/>
    <s v="riley.smith93@example.com"/>
    <x v="0"/>
    <x v="4"/>
    <d v="1899-12-30T13:30:00"/>
    <s v="40B"/>
    <s v=" "/>
    <x v="3"/>
    <x v="293"/>
    <s v="Unique"/>
  </r>
  <r>
    <s v="Alex Allen"/>
    <s v="alex.allen401@example.com"/>
    <x v="2"/>
    <x v="3"/>
    <d v="1899-12-30T10:30:00"/>
    <s v="40B"/>
    <m/>
    <x v="3"/>
    <x v="294"/>
    <s v="Unique"/>
  </r>
  <r>
    <s v="Morgan Hall"/>
    <s v="morgan.hall278@example.com"/>
    <x v="9"/>
    <x v="2"/>
    <d v="1899-12-30T04:00:00"/>
    <s v="40B"/>
    <s v="Vegetarian"/>
    <x v="3"/>
    <x v="295"/>
    <s v="Unique"/>
  </r>
  <r>
    <s v="Jamie Walker"/>
    <s v="jamie.walker532@example.com"/>
    <x v="10"/>
    <x v="4"/>
    <d v="1899-12-30T18:30:00"/>
    <s v="40C"/>
    <s v="None"/>
    <x v="3"/>
    <x v="296"/>
    <s v="Unique"/>
  </r>
  <r>
    <s v="Chris Allen"/>
    <s v="chris.allen391@example.com"/>
    <x v="1"/>
    <x v="6"/>
    <d v="1899-12-30T23:00:00"/>
    <s v="40C"/>
    <s v="None"/>
    <x v="3"/>
    <x v="297"/>
    <s v="Unique"/>
  </r>
  <r>
    <s v="Chris Allen"/>
    <s v="chris.allen547@example.com"/>
    <x v="4"/>
    <x v="5"/>
    <d v="1899-12-30T22:00:00"/>
    <s v="40C"/>
    <s v=" "/>
    <x v="3"/>
    <x v="298"/>
    <s v="Unique"/>
  </r>
  <r>
    <s v="Drew Allen"/>
    <s v="drew.allen248@example.com"/>
    <x v="11"/>
    <x v="4"/>
    <d v="1899-12-30T13:00:00"/>
    <s v="40C"/>
    <s v="Vegetarian"/>
    <x v="3"/>
    <x v="299"/>
    <s v="Unique"/>
  </r>
  <r>
    <s v="Chris Hall"/>
    <s v="chris.hall131@example.com"/>
    <x v="6"/>
    <x v="0"/>
    <d v="1899-12-30T21:00:00"/>
    <s v="40C"/>
    <s v="Kosher"/>
    <x v="3"/>
    <x v="300"/>
    <s v="Unique"/>
  </r>
  <r>
    <s v="Chris Allen"/>
    <s v="chris.allen72@example.com"/>
    <x v="6"/>
    <x v="6"/>
    <d v="1899-12-30T14:30:00"/>
    <s v="40C"/>
    <m/>
    <x v="3"/>
    <x v="301"/>
    <s v="Unique"/>
  </r>
  <r>
    <s v="Jamie Brown"/>
    <s v="jamie.brown450@example.com"/>
    <x v="4"/>
    <x v="1"/>
    <d v="1899-12-30T04:30:00"/>
    <s v="40D"/>
    <s v="Vegetarian"/>
    <x v="3"/>
    <x v="302"/>
    <s v="Unique"/>
  </r>
  <r>
    <s v="Riley Walker"/>
    <s v="riley.walker39@example.com"/>
    <x v="0"/>
    <x v="6"/>
    <d v="1899-12-30T02:00:00"/>
    <s v="40D"/>
    <s v="Kosher"/>
    <x v="3"/>
    <x v="303"/>
    <s v="Unique"/>
  </r>
  <r>
    <s v="Taylor Walker"/>
    <s v="taylor.walker935@example.com"/>
    <x v="9"/>
    <x v="6"/>
    <d v="1899-12-30T21:30:00"/>
    <s v="40D"/>
    <s v="Vegetarian"/>
    <x v="3"/>
    <x v="304"/>
    <s v="Unique"/>
  </r>
  <r>
    <s v="Alex Johnson"/>
    <s v="alex.johnson964@example.com"/>
    <x v="10"/>
    <x v="3"/>
    <d v="1899-12-30T19:30:00"/>
    <s v="41A"/>
    <s v="Vegetarian"/>
    <x v="3"/>
    <x v="305"/>
    <s v="Duplicate"/>
  </r>
  <r>
    <s v="Jamie Wilson"/>
    <s v="jamie.wilson652@example.com"/>
    <x v="6"/>
    <x v="5"/>
    <d v="1899-12-30T21:00:00"/>
    <s v="41A"/>
    <m/>
    <x v="3"/>
    <x v="306"/>
    <s v="Unique"/>
  </r>
  <r>
    <s v="Alex Johnson"/>
    <s v="alex.johnson964@example.com"/>
    <x v="10"/>
    <x v="3"/>
    <d v="1899-12-30T19:30:00"/>
    <s v="41A"/>
    <s v="Vegetarian"/>
    <x v="3"/>
    <x v="305"/>
    <s v="Duplicate"/>
  </r>
  <r>
    <s v="Riley Walker"/>
    <s v="riley.walker266@example.com"/>
    <x v="6"/>
    <x v="1"/>
    <d v="1899-12-30T16:30:00"/>
    <s v="41B"/>
    <s v="Halal"/>
    <x v="3"/>
    <x v="307"/>
    <s v="Unique"/>
  </r>
  <r>
    <s v="Taylor Hall"/>
    <s v="taylor.hall226@example.com"/>
    <x v="3"/>
    <x v="2"/>
    <d v="1899-12-30T17:30:00"/>
    <s v="41B"/>
    <s v="Halal"/>
    <x v="3"/>
    <x v="308"/>
    <s v="Duplicate"/>
  </r>
  <r>
    <s v="Taylor Hall"/>
    <s v="taylor.hall226@example.com"/>
    <x v="3"/>
    <x v="2"/>
    <d v="1899-12-30T17:30:00"/>
    <s v="41B"/>
    <s v="Halal"/>
    <x v="3"/>
    <x v="308"/>
    <s v="Duplicate"/>
  </r>
  <r>
    <s v="Riley Walker"/>
    <s v="riley.walker773@example.com"/>
    <x v="2"/>
    <x v="1"/>
    <d v="1899-12-30T21:30:00"/>
    <s v="41C"/>
    <s v="Vegetarian"/>
    <x v="3"/>
    <x v="309"/>
    <s v="Duplicate"/>
  </r>
  <r>
    <s v="Riley Walker"/>
    <s v="riley.walker773@example.com"/>
    <x v="2"/>
    <x v="1"/>
    <d v="1899-12-30T21:30:00"/>
    <s v="41C"/>
    <s v="Vegetarian"/>
    <x v="3"/>
    <x v="309"/>
    <s v="Duplicate"/>
  </r>
  <r>
    <s v="Casey Lewis"/>
    <s v="casey.lewis755@example.com"/>
    <x v="0"/>
    <x v="5"/>
    <d v="1899-12-30T06:00:00"/>
    <s v="41D"/>
    <m/>
    <x v="3"/>
    <x v="310"/>
    <s v="Unique"/>
  </r>
  <r>
    <s v="Morgan Smith"/>
    <s v="morgan.smith945@example.com"/>
    <x v="0"/>
    <x v="1"/>
    <d v="1899-12-30T16:30:00"/>
    <s v="41D"/>
    <s v="Kosher"/>
    <x v="3"/>
    <x v="311"/>
    <s v="Unique"/>
  </r>
  <r>
    <s v="Jamie Smith"/>
    <s v="jamie.smith385@example.com"/>
    <x v="1"/>
    <x v="6"/>
    <d v="1899-12-30T10:00:00"/>
    <s v="42A"/>
    <s v="Vegan"/>
    <x v="3"/>
    <x v="312"/>
    <s v="Unique"/>
  </r>
  <r>
    <s v="Drew Johnson"/>
    <s v="drew.johnson855@example.com"/>
    <x v="11"/>
    <x v="6"/>
    <d v="1899-12-30T19:30:00"/>
    <s v="42A"/>
    <s v="None"/>
    <x v="3"/>
    <x v="313"/>
    <s v="Duplicate"/>
  </r>
  <r>
    <s v="Casey Johnson"/>
    <s v="casey.johnson195@example.com"/>
    <x v="4"/>
    <x v="1"/>
    <d v="1899-12-30T02:00:00"/>
    <s v="42A"/>
    <s v="Vegan"/>
    <x v="3"/>
    <x v="314"/>
    <s v="Unique"/>
  </r>
  <r>
    <s v="Taylor Wilson"/>
    <s v="taylor.wilson106@example.com"/>
    <x v="3"/>
    <x v="6"/>
    <d v="1899-12-30T03:00:00"/>
    <s v="42A"/>
    <s v="Vegetarian"/>
    <x v="3"/>
    <x v="315"/>
    <s v="Unique"/>
  </r>
  <r>
    <s v="Drew Johnson"/>
    <s v="drew.johnson855@example.com"/>
    <x v="11"/>
    <x v="6"/>
    <d v="1899-12-30T19:30:00"/>
    <s v="42A"/>
    <s v="None"/>
    <x v="3"/>
    <x v="313"/>
    <s v="Duplicate"/>
  </r>
  <r>
    <s v="Morgan Johnson"/>
    <s v="morgan.johnson807@example.com"/>
    <x v="1"/>
    <x v="5"/>
    <d v="1899-12-30T07:00:00"/>
    <s v="42B"/>
    <s v="Halal"/>
    <x v="3"/>
    <x v="316"/>
    <s v="Duplicate"/>
  </r>
  <r>
    <s v="Chris Brown"/>
    <s v="chris.brown292@example.com"/>
    <x v="0"/>
    <x v="0"/>
    <d v="1899-12-30T03:00:00"/>
    <s v="42B"/>
    <m/>
    <x v="3"/>
    <x v="317"/>
    <s v="Unique"/>
  </r>
  <r>
    <s v="Morgan Johnson"/>
    <s v="morgan.johnson807@example.com"/>
    <x v="1"/>
    <x v="5"/>
    <d v="1899-12-30T07:00:00"/>
    <s v="42B"/>
    <s v="Halal"/>
    <x v="3"/>
    <x v="316"/>
    <s v="Duplicate"/>
  </r>
  <r>
    <s v="Jordan Walker"/>
    <s v="jordan.walker103@example.com"/>
    <x v="9"/>
    <x v="0"/>
    <d v="1899-12-30T12:00:00"/>
    <s v="42B"/>
    <s v="Vegan"/>
    <x v="3"/>
    <x v="318"/>
    <s v="Unique"/>
  </r>
  <r>
    <s v="Jamie Brown"/>
    <s v="jamie.brown427@example.com"/>
    <x v="2"/>
    <x v="6"/>
    <d v="1899-12-30T22:30:00"/>
    <s v="42B"/>
    <m/>
    <x v="3"/>
    <x v="319"/>
    <s v="Unique"/>
  </r>
  <r>
    <s v="Chris Clark"/>
    <s v="chris.clark140@example.com"/>
    <x v="3"/>
    <x v="2"/>
    <d v="1899-12-30T20:30:00"/>
    <s v="42C"/>
    <s v="Vegetarian"/>
    <x v="3"/>
    <x v="320"/>
    <s v="Duplicate"/>
  </r>
  <r>
    <s v="Drew Walker"/>
    <s v="drew.walker280@example.com"/>
    <x v="6"/>
    <x v="1"/>
    <d v="1899-12-30T06:00:00"/>
    <s v="42C"/>
    <m/>
    <x v="3"/>
    <x v="321"/>
    <s v="Duplicate"/>
  </r>
  <r>
    <s v="Drew Walker"/>
    <s v="drew.walker280@example.com"/>
    <x v="6"/>
    <x v="1"/>
    <d v="1899-12-30T06:00:00"/>
    <s v="42C"/>
    <m/>
    <x v="3"/>
    <x v="321"/>
    <s v="Duplicate"/>
  </r>
  <r>
    <s v="Chris Clark"/>
    <s v="chris.clark140@example.com"/>
    <x v="3"/>
    <x v="2"/>
    <d v="1899-12-30T20:30:00"/>
    <s v="42C"/>
    <s v="Vegetarian"/>
    <x v="3"/>
    <x v="320"/>
    <s v="Duplicate"/>
  </r>
  <r>
    <s v="Jesse Brown"/>
    <s v="jesse.brown318@example.com"/>
    <x v="9"/>
    <x v="0"/>
    <d v="1899-12-30T04:00:00"/>
    <s v="42D"/>
    <s v="None"/>
    <x v="3"/>
    <x v="322"/>
    <s v="Duplicate"/>
  </r>
  <r>
    <s v="Alex Johnson"/>
    <s v="alex.johnson582@example.com"/>
    <x v="2"/>
    <x v="3"/>
    <d v="1899-12-30T09:30:00"/>
    <s v="42D"/>
    <s v="Vegetarian"/>
    <x v="3"/>
    <x v="323"/>
    <s v="Duplicate"/>
  </r>
  <r>
    <s v="Jesse Brown"/>
    <s v="jesse.brown318@example.com"/>
    <x v="9"/>
    <x v="0"/>
    <d v="1899-12-30T04:00:00"/>
    <s v="42D"/>
    <s v="None"/>
    <x v="3"/>
    <x v="322"/>
    <s v="Duplicate"/>
  </r>
  <r>
    <s v="Drew Allen"/>
    <s v="drew.allen98@example.com"/>
    <x v="7"/>
    <x v="2"/>
    <d v="1899-12-30T08:30:00"/>
    <s v="42D"/>
    <s v="Vegetarian"/>
    <x v="3"/>
    <x v="324"/>
    <s v="Duplicate"/>
  </r>
  <r>
    <s v="Drew Allen"/>
    <s v="drew.allen98@example.com"/>
    <x v="7"/>
    <x v="2"/>
    <d v="1899-12-30T08:30:00"/>
    <s v="42D"/>
    <s v="Vegetarian"/>
    <x v="3"/>
    <x v="324"/>
    <s v="Duplicate"/>
  </r>
  <r>
    <s v="Alex Johnson"/>
    <s v="alex.johnson582@example.com"/>
    <x v="2"/>
    <x v="3"/>
    <d v="1899-12-30T09:30:00"/>
    <s v="42D"/>
    <s v="Vegetarian"/>
    <x v="3"/>
    <x v="323"/>
    <s v="Duplicate"/>
  </r>
  <r>
    <s v="Chris Allen"/>
    <s v="chris.allen89@example.com"/>
    <x v="8"/>
    <x v="1"/>
    <d v="1899-12-30T12:30:00"/>
    <s v="43A"/>
    <s v="Kosher"/>
    <x v="3"/>
    <x v="325"/>
    <s v="Unique"/>
  </r>
  <r>
    <s v="Jordan Wilson"/>
    <s v="jordan.wilson744@example.com"/>
    <x v="2"/>
    <x v="0"/>
    <d v="1899-12-30T11:00:00"/>
    <s v="43B"/>
    <s v="Vegan"/>
    <x v="3"/>
    <x v="326"/>
    <s v="Unique"/>
  </r>
  <r>
    <s v="Riley Hall"/>
    <s v="riley.hall523@example.com"/>
    <x v="4"/>
    <x v="0"/>
    <d v="1899-12-30T16:00:00"/>
    <s v="43B"/>
    <s v=" "/>
    <x v="3"/>
    <x v="327"/>
    <s v="Duplicate"/>
  </r>
  <r>
    <s v="Riley Hall"/>
    <s v="riley.hall523@example.com"/>
    <x v="4"/>
    <x v="0"/>
    <d v="1899-12-30T16:00:00"/>
    <s v="43B"/>
    <s v=" "/>
    <x v="3"/>
    <x v="327"/>
    <s v="Duplicate"/>
  </r>
  <r>
    <s v="Riley Smith"/>
    <s v="riley.smith65@example.com"/>
    <x v="8"/>
    <x v="2"/>
    <d v="1899-12-30T00:00:00"/>
    <s v="43C"/>
    <s v="None"/>
    <x v="3"/>
    <x v="328"/>
    <s v="Duplicate"/>
  </r>
  <r>
    <s v="Riley Smith"/>
    <s v="riley.smith65@example.com"/>
    <x v="8"/>
    <x v="2"/>
    <d v="1899-12-30T00:00:00"/>
    <s v="43C"/>
    <s v="None"/>
    <x v="3"/>
    <x v="328"/>
    <s v="Duplicate"/>
  </r>
  <r>
    <s v="Jamie Johnson"/>
    <s v="jamie.johnson162@example.com"/>
    <x v="10"/>
    <x v="1"/>
    <d v="1899-12-30T19:00:00"/>
    <s v="43C"/>
    <m/>
    <x v="3"/>
    <x v="329"/>
    <s v="Duplicate"/>
  </r>
  <r>
    <s v="Jamie Johnson"/>
    <s v="jamie.johnson162@example.com"/>
    <x v="10"/>
    <x v="1"/>
    <d v="1899-12-30T19:00:00"/>
    <s v="43C"/>
    <m/>
    <x v="3"/>
    <x v="329"/>
    <s v="Duplicate"/>
  </r>
  <r>
    <s v="Jordan Wilson"/>
    <s v="jordan.wilson567@example.com"/>
    <x v="2"/>
    <x v="5"/>
    <d v="1899-12-30T22:00:00"/>
    <s v="43C"/>
    <s v="Vegetarian"/>
    <x v="3"/>
    <x v="330"/>
    <s v="Duplicate"/>
  </r>
  <r>
    <s v="Jordan Wilson"/>
    <s v="jordan.wilson567@example.com"/>
    <x v="2"/>
    <x v="5"/>
    <d v="1899-12-30T22:00:00"/>
    <s v="43C"/>
    <s v="Vegetarian"/>
    <x v="3"/>
    <x v="330"/>
    <s v="Duplicate"/>
  </r>
  <r>
    <s v="Chris Brown"/>
    <s v="chris.brown485@example.com"/>
    <x v="4"/>
    <x v="6"/>
    <d v="1899-12-30T15:30:00"/>
    <s v="43C"/>
    <s v="Vegan"/>
    <x v="3"/>
    <x v="331"/>
    <s v="Unique"/>
  </r>
  <r>
    <s v="Alex Lewis"/>
    <s v="alex.lewis2@example.com"/>
    <x v="9"/>
    <x v="1"/>
    <d v="1899-12-30T18:30:00"/>
    <s v="43C"/>
    <s v="None"/>
    <x v="3"/>
    <x v="332"/>
    <s v="Unique"/>
  </r>
  <r>
    <s v="Jesse Smith"/>
    <s v="jesse.smith635@example.com"/>
    <x v="4"/>
    <x v="0"/>
    <d v="1899-12-30T08:00:00"/>
    <s v="43C"/>
    <s v="Vegetarian"/>
    <x v="3"/>
    <x v="333"/>
    <s v="Unique"/>
  </r>
  <r>
    <s v="Jordan Lewis"/>
    <s v="jordan.lewis391@example.com"/>
    <x v="2"/>
    <x v="0"/>
    <d v="1899-12-30T17:00:00"/>
    <s v="44A"/>
    <m/>
    <x v="1"/>
    <x v="334"/>
    <s v="Duplicate"/>
  </r>
  <r>
    <s v="Morgan Johnson"/>
    <s v="morgan.johnson378@example.com"/>
    <x v="10"/>
    <x v="5"/>
    <d v="1899-12-30T20:00:00"/>
    <s v="44A"/>
    <s v="Vegetarian"/>
    <x v="3"/>
    <x v="335"/>
    <s v="Unique"/>
  </r>
  <r>
    <s v="Jordan Lewis"/>
    <s v="jordan.lewis391@example.com"/>
    <x v="2"/>
    <x v="0"/>
    <d v="1899-12-30T17:00:00"/>
    <s v="44A"/>
    <m/>
    <x v="1"/>
    <x v="334"/>
    <s v="Duplicate"/>
  </r>
  <r>
    <s v="Drew Wilson"/>
    <s v="drew.wilson206@example.com"/>
    <x v="6"/>
    <x v="5"/>
    <d v="1899-12-30T21:30:00"/>
    <s v="44B"/>
    <m/>
    <x v="3"/>
    <x v="336"/>
    <s v="Unique"/>
  </r>
  <r>
    <s v="Jamie Allen"/>
    <s v="jamie.allen257@example.com"/>
    <x v="0"/>
    <x v="3"/>
    <d v="1899-12-30T11:00:00"/>
    <s v="44C"/>
    <s v="None"/>
    <x v="3"/>
    <x v="337"/>
    <s v="Unique"/>
  </r>
  <r>
    <s v="Morgan Smith"/>
    <s v="morgan.smith684@example.com"/>
    <x v="4"/>
    <x v="0"/>
    <d v="1899-12-30T05:30:00"/>
    <s v="44C"/>
    <m/>
    <x v="3"/>
    <x v="338"/>
    <s v="Unique"/>
  </r>
  <r>
    <s v="Casey Allen"/>
    <s v="casey.allen117@example.com"/>
    <x v="5"/>
    <x v="6"/>
    <d v="1899-12-30T19:00:00"/>
    <s v="44C"/>
    <s v="None"/>
    <x v="3"/>
    <x v="339"/>
    <s v="Unique"/>
  </r>
  <r>
    <s v="Morgan Lee"/>
    <s v="morgan.lee522@example.com"/>
    <x v="10"/>
    <x v="3"/>
    <d v="1899-12-30T02:00:00"/>
    <s v="44D"/>
    <s v="None"/>
    <x v="1"/>
    <x v="340"/>
    <s v="Unique"/>
  </r>
  <r>
    <s v="Jesse Lewis"/>
    <s v="jesse.lewis842@example.com"/>
    <x v="11"/>
    <x v="0"/>
    <d v="1899-12-30T00:30:00"/>
    <s v="44D"/>
    <s v="Vegetarian"/>
    <x v="3"/>
    <x v="341"/>
    <s v="Unique"/>
  </r>
  <r>
    <s v="Casey Brown"/>
    <s v="casey.brown321@example.com"/>
    <x v="7"/>
    <x v="6"/>
    <d v="1899-12-30T11:00:00"/>
    <s v="44D"/>
    <s v="Vegan"/>
    <x v="3"/>
    <x v="342"/>
    <s v="Unique"/>
  </r>
  <r>
    <s v="Morgan Smith"/>
    <s v="morgan.smith350@example.com"/>
    <x v="5"/>
    <x v="1"/>
    <d v="1899-12-30T17:30:00"/>
    <s v="45A"/>
    <s v="Vegan"/>
    <x v="3"/>
    <x v="343"/>
    <s v="Unique"/>
  </r>
  <r>
    <s v="Jesse Hall"/>
    <s v="jesse.hall886@example.com"/>
    <x v="6"/>
    <x v="2"/>
    <d v="1899-12-30T07:30:00"/>
    <s v="45A"/>
    <s v="Kosher"/>
    <x v="3"/>
    <x v="344"/>
    <s v="Unique"/>
  </r>
  <r>
    <s v="Riley Walker"/>
    <s v="riley.walker459@example.com"/>
    <x v="0"/>
    <x v="3"/>
    <d v="1899-12-30T07:30:00"/>
    <s v="45B"/>
    <s v="Halal"/>
    <x v="3"/>
    <x v="345"/>
    <s v="Unique"/>
  </r>
  <r>
    <s v="Chris Walker"/>
    <s v="chris.walker825@example.com"/>
    <x v="3"/>
    <x v="4"/>
    <d v="1899-12-30T19:30:00"/>
    <s v="45C"/>
    <m/>
    <x v="3"/>
    <x v="346"/>
    <s v="Unique"/>
  </r>
  <r>
    <s v="Casey Johnson"/>
    <s v="casey.johnson118@example.com"/>
    <x v="7"/>
    <x v="3"/>
    <d v="1899-12-30T05:30:00"/>
    <s v="45C"/>
    <s v="Vegan"/>
    <x v="3"/>
    <x v="347"/>
    <s v="Unique"/>
  </r>
  <r>
    <s v="Riley Brown"/>
    <s v="riley.brown243@example.com"/>
    <x v="7"/>
    <x v="5"/>
    <d v="1899-12-30T18:30:00"/>
    <s v="45C"/>
    <s v="Vegan"/>
    <x v="3"/>
    <x v="348"/>
    <s v="Unique"/>
  </r>
  <r>
    <s v="Morgan Johnson"/>
    <s v="morgan.johnson572@example.com"/>
    <x v="8"/>
    <x v="4"/>
    <d v="1899-12-30T09:00:00"/>
    <s v="45D"/>
    <s v="Halal"/>
    <x v="3"/>
    <x v="349"/>
    <s v="Unique"/>
  </r>
  <r>
    <s v="Casey Clark"/>
    <s v="casey.clark580@example.com"/>
    <x v="4"/>
    <x v="5"/>
    <d v="1899-12-30T04:00:00"/>
    <s v="45D"/>
    <s v="Halal"/>
    <x v="3"/>
    <x v="350"/>
    <s v="Unique"/>
  </r>
  <r>
    <s v="Morgan Allen"/>
    <s v="morgan.allen142@example.com"/>
    <x v="8"/>
    <x v="3"/>
    <d v="1899-12-30T11:00:00"/>
    <s v="46A"/>
    <s v="Halal"/>
    <x v="3"/>
    <x v="351"/>
    <s v="Unique"/>
  </r>
  <r>
    <s v="Jordan Lewis"/>
    <s v="jordan.lewis81@example.com"/>
    <x v="9"/>
    <x v="6"/>
    <d v="1899-12-30T18:00:00"/>
    <s v="46A"/>
    <s v="Vegan"/>
    <x v="1"/>
    <x v="352"/>
    <s v="Unique"/>
  </r>
  <r>
    <s v="Jamie Clark"/>
    <s v="jamie.clark727@example.com"/>
    <x v="4"/>
    <x v="5"/>
    <d v="1899-12-30T09:00:00"/>
    <s v="46B"/>
    <s v=" "/>
    <x v="3"/>
    <x v="353"/>
    <s v="Unique"/>
  </r>
  <r>
    <s v="Chris Allen"/>
    <s v="chris.allen42@example.com"/>
    <x v="6"/>
    <x v="1"/>
    <d v="1899-12-30T04:00:00"/>
    <s v="46B"/>
    <s v="Halal"/>
    <x v="3"/>
    <x v="354"/>
    <s v="Unique"/>
  </r>
  <r>
    <s v="Jordan Lewis"/>
    <s v="jordan.lewis119@example.com"/>
    <x v="10"/>
    <x v="5"/>
    <d v="1899-12-30T17:00:00"/>
    <s v="46B"/>
    <m/>
    <x v="3"/>
    <x v="355"/>
    <s v="Unique"/>
  </r>
  <r>
    <s v="Jordan Lee"/>
    <s v="jordan.lee271@example.com"/>
    <x v="4"/>
    <x v="3"/>
    <d v="1899-12-30T05:30:00"/>
    <s v="46C"/>
    <s v="Vegetarian"/>
    <x v="3"/>
    <x v="356"/>
    <s v="Duplicate"/>
  </r>
  <r>
    <s v="Jordan Lee"/>
    <s v="jordan.lee271@example.com"/>
    <x v="4"/>
    <x v="3"/>
    <d v="1899-12-30T05:30:00"/>
    <s v="46C"/>
    <s v="Vegetarian"/>
    <x v="3"/>
    <x v="356"/>
    <s v="Duplicate"/>
  </r>
  <r>
    <s v="Riley Hall"/>
    <s v="riley.hall170@example.com"/>
    <x v="8"/>
    <x v="5"/>
    <d v="1899-12-30T06:00:00"/>
    <s v="46C"/>
    <s v="Kosher"/>
    <x v="3"/>
    <x v="357"/>
    <s v="Unique"/>
  </r>
  <r>
    <s v="Riley Lee"/>
    <s v="riley.lee649@example.com"/>
    <x v="8"/>
    <x v="4"/>
    <d v="1899-12-30T21:00:00"/>
    <s v="46D"/>
    <s v=" "/>
    <x v="3"/>
    <x v="358"/>
    <s v="Unique"/>
  </r>
  <r>
    <s v="Casey Smith"/>
    <s v="casey.smith31@example.com"/>
    <x v="4"/>
    <x v="4"/>
    <d v="1899-12-30T09:00:00"/>
    <s v="46D"/>
    <s v="Vegetarian"/>
    <x v="1"/>
    <x v="359"/>
    <s v="Unique"/>
  </r>
  <r>
    <s v="Casey Wilson"/>
    <s v="casey.wilson254@example.com"/>
    <x v="10"/>
    <x v="6"/>
    <d v="1899-12-30T05:00:00"/>
    <s v="47A"/>
    <s v="Vegan"/>
    <x v="3"/>
    <x v="360"/>
    <s v="Duplicate"/>
  </r>
  <r>
    <s v="Casey Wilson"/>
    <s v="casey.wilson254@example.com"/>
    <x v="10"/>
    <x v="6"/>
    <d v="1899-12-30T05:00:00"/>
    <s v="47A"/>
    <s v="Vegan"/>
    <x v="3"/>
    <x v="360"/>
    <s v="Duplicate"/>
  </r>
  <r>
    <s v="Chris Clark"/>
    <s v="chris.clark293@example.com"/>
    <x v="1"/>
    <x v="3"/>
    <d v="1899-12-30T11:00:00"/>
    <s v="47A"/>
    <s v="Vegetarian"/>
    <x v="3"/>
    <x v="361"/>
    <s v="Unique"/>
  </r>
  <r>
    <s v="Jordan Brown"/>
    <s v="jordan.brown675@example.com"/>
    <x v="7"/>
    <x v="6"/>
    <d v="1899-12-30T13:30:00"/>
    <s v="47A"/>
    <m/>
    <x v="3"/>
    <x v="362"/>
    <s v="Unique"/>
  </r>
  <r>
    <s v="Morgan Johnson"/>
    <s v="morgan.johnson209@example.com"/>
    <x v="5"/>
    <x v="2"/>
    <d v="1899-12-30T20:30:00"/>
    <s v="47B"/>
    <s v="Vegan"/>
    <x v="3"/>
    <x v="363"/>
    <s v="Unique"/>
  </r>
  <r>
    <s v="Jordan Johnson"/>
    <s v="jordan.johnson792@example.com"/>
    <x v="7"/>
    <x v="6"/>
    <d v="1899-12-30T00:30:00"/>
    <s v="47C"/>
    <s v=" "/>
    <x v="3"/>
    <x v="364"/>
    <s v="Duplicate"/>
  </r>
  <r>
    <s v="Drew Johnson"/>
    <s v="drew.johnson631@example.com"/>
    <x v="9"/>
    <x v="1"/>
    <d v="1899-12-30T14:30:00"/>
    <s v="47C"/>
    <s v="Halal"/>
    <x v="3"/>
    <x v="365"/>
    <s v="Unique"/>
  </r>
  <r>
    <s v="Jordan Johnson"/>
    <s v="jordan.johnson792@example.com"/>
    <x v="7"/>
    <x v="6"/>
    <d v="1899-12-30T00:30:00"/>
    <s v="47C"/>
    <s v=" "/>
    <x v="3"/>
    <x v="364"/>
    <s v="Duplicate"/>
  </r>
  <r>
    <s v="Riley Hall"/>
    <s v="riley.hall37@example.com"/>
    <x v="2"/>
    <x v="3"/>
    <d v="1899-12-30T11:30:00"/>
    <s v="48A"/>
    <s v="Kosher"/>
    <x v="3"/>
    <x v="366"/>
    <s v="Unique"/>
  </r>
  <r>
    <s v="Casey Lee"/>
    <s v="casey.lee133@example.com"/>
    <x v="7"/>
    <x v="5"/>
    <d v="1899-12-30T21:30:00"/>
    <s v="48A"/>
    <s v="Kosher"/>
    <x v="3"/>
    <x v="367"/>
    <s v="Unique"/>
  </r>
  <r>
    <s v="Jamie Smith"/>
    <s v="jamie.smith186@example.com"/>
    <x v="3"/>
    <x v="5"/>
    <d v="1899-12-30T02:00:00"/>
    <s v="48A"/>
    <s v="Vegan"/>
    <x v="3"/>
    <x v="368"/>
    <s v="Unique"/>
  </r>
  <r>
    <s v="Casey Clark"/>
    <s v="casey.clark989@example.com"/>
    <x v="7"/>
    <x v="3"/>
    <d v="1899-12-30T14:30:00"/>
    <s v="48B"/>
    <s v="Kosher"/>
    <x v="3"/>
    <x v="369"/>
    <s v="Unique"/>
  </r>
  <r>
    <s v="Casey Brown"/>
    <s v="casey.brown211@example.com"/>
    <x v="9"/>
    <x v="1"/>
    <d v="1899-12-30T20:00:00"/>
    <s v="48B"/>
    <s v="Vegan"/>
    <x v="3"/>
    <x v="370"/>
    <s v="Unique"/>
  </r>
  <r>
    <s v="Jamie Allen"/>
    <s v="jamie.allen446@example.com"/>
    <x v="8"/>
    <x v="2"/>
    <d v="1899-12-30T14:30:00"/>
    <s v="48B"/>
    <s v="Vegan"/>
    <x v="3"/>
    <x v="371"/>
    <s v="Unique"/>
  </r>
  <r>
    <s v="Casey Lee"/>
    <s v="casey.lee957@example.com"/>
    <x v="0"/>
    <x v="1"/>
    <d v="1899-12-30T15:00:00"/>
    <s v="48C"/>
    <s v="Vegan"/>
    <x v="3"/>
    <x v="372"/>
    <s v="Unique"/>
  </r>
  <r>
    <s v="Jamie Hall"/>
    <s v="jamie.hall308@example.com"/>
    <x v="3"/>
    <x v="1"/>
    <d v="1899-12-30T17:00:00"/>
    <s v="48C"/>
    <m/>
    <x v="3"/>
    <x v="373"/>
    <s v="Duplicate"/>
  </r>
  <r>
    <s v="Jamie Hall"/>
    <s v="jamie.hall308@example.com"/>
    <x v="3"/>
    <x v="1"/>
    <d v="1899-12-30T17:00:00"/>
    <s v="48C"/>
    <m/>
    <x v="3"/>
    <x v="373"/>
    <s v="Duplicate"/>
  </r>
  <r>
    <s v="Morgan Allen"/>
    <s v="morgan.allen867@example.com"/>
    <x v="7"/>
    <x v="6"/>
    <d v="1899-12-30T03:00:00"/>
    <s v="48C"/>
    <s v="None"/>
    <x v="3"/>
    <x v="374"/>
    <s v="Unique"/>
  </r>
  <r>
    <s v="Jordan Johnson"/>
    <s v="jordan.johnson377@example.com"/>
    <x v="2"/>
    <x v="4"/>
    <d v="1899-12-30T15:30:00"/>
    <s v="48C"/>
    <s v="Kosher"/>
    <x v="3"/>
    <x v="375"/>
    <s v="Unique"/>
  </r>
  <r>
    <s v="Taylor Johnson"/>
    <s v="taylor.johnson44@example.com"/>
    <x v="8"/>
    <x v="2"/>
    <d v="1899-12-30T06:30:00"/>
    <s v="48D"/>
    <s v="Vegetarian"/>
    <x v="3"/>
    <x v="376"/>
    <s v="Duplicate"/>
  </r>
  <r>
    <s v="Taylor Johnson"/>
    <s v="taylor.johnson44@example.com"/>
    <x v="8"/>
    <x v="2"/>
    <d v="1899-12-30T06:30:00"/>
    <s v="48D"/>
    <s v="Vegetarian"/>
    <x v="3"/>
    <x v="376"/>
    <s v="Duplicate"/>
  </r>
  <r>
    <s v="Chris Johnson"/>
    <s v="chris.johnson288@example.com"/>
    <x v="10"/>
    <x v="1"/>
    <d v="1899-12-30T16:00:00"/>
    <s v="48D"/>
    <s v=" "/>
    <x v="3"/>
    <x v="377"/>
    <s v="Unique"/>
  </r>
  <r>
    <s v="Morgan Clark"/>
    <s v="morgan.clark340@example.com"/>
    <x v="5"/>
    <x v="6"/>
    <d v="1899-12-30T10:30:00"/>
    <s v="49A"/>
    <s v="Vegan"/>
    <x v="3"/>
    <x v="378"/>
    <s v="Unique"/>
  </r>
  <r>
    <s v="Chris Lewis"/>
    <s v="chris.lewis135@example.com"/>
    <x v="1"/>
    <x v="2"/>
    <d v="1899-12-30T14:30:00"/>
    <s v="49A"/>
    <s v="Vegan"/>
    <x v="3"/>
    <x v="379"/>
    <s v="Unique"/>
  </r>
  <r>
    <s v="Chris Wilson"/>
    <s v="chris.wilson60@example.com"/>
    <x v="6"/>
    <x v="5"/>
    <d v="1899-12-30T02:30:00"/>
    <s v="49B"/>
    <s v="Vegetarian"/>
    <x v="3"/>
    <x v="380"/>
    <s v="Duplicate"/>
  </r>
  <r>
    <s v="Alex Hall"/>
    <s v="alex.hall971@example.com"/>
    <x v="6"/>
    <x v="3"/>
    <d v="1899-12-30T12:30:00"/>
    <s v="49B"/>
    <m/>
    <x v="3"/>
    <x v="381"/>
    <s v="Duplicate"/>
  </r>
  <r>
    <s v="Chris Wilson"/>
    <s v="chris.wilson60@example.com"/>
    <x v="6"/>
    <x v="5"/>
    <d v="1899-12-30T02:30:00"/>
    <s v="49B"/>
    <s v="Vegetarian"/>
    <x v="3"/>
    <x v="380"/>
    <s v="Duplicate"/>
  </r>
  <r>
    <s v="Chris Johnson"/>
    <s v="chris.johnson237@example.com"/>
    <x v="4"/>
    <x v="2"/>
    <d v="1899-12-30T06:00:00"/>
    <s v="49B"/>
    <s v="Vegetarian"/>
    <x v="3"/>
    <x v="382"/>
    <s v="Unique"/>
  </r>
  <r>
    <s v="Jordan Clark"/>
    <s v="jordan.clark681@example.com"/>
    <x v="1"/>
    <x v="4"/>
    <d v="1899-12-30T07:30:00"/>
    <s v="49B"/>
    <s v="Kosher"/>
    <x v="3"/>
    <x v="383"/>
    <s v="Unique"/>
  </r>
  <r>
    <s v="Alex Hall"/>
    <s v="alex.hall971@example.com"/>
    <x v="6"/>
    <x v="3"/>
    <d v="1899-12-30T12:30:00"/>
    <s v="49B"/>
    <m/>
    <x v="3"/>
    <x v="381"/>
    <s v="Duplicate"/>
  </r>
  <r>
    <s v="Morgan Hall"/>
    <s v="morgan.hall485@example.com"/>
    <x v="11"/>
    <x v="4"/>
    <d v="1899-12-30T17:30:00"/>
    <s v="49B"/>
    <m/>
    <x v="3"/>
    <x v="384"/>
    <s v="Unique"/>
  </r>
  <r>
    <s v="Casey Smith"/>
    <s v="casey.smith39@example.com"/>
    <x v="9"/>
    <x v="4"/>
    <d v="1899-12-30T00:30:00"/>
    <s v="49B"/>
    <s v="Vegan"/>
    <x v="3"/>
    <x v="385"/>
    <s v="Unique"/>
  </r>
  <r>
    <s v="Taylor Hall"/>
    <s v="taylor.hall556@example.com"/>
    <x v="11"/>
    <x v="2"/>
    <d v="1899-12-30T22:00:00"/>
    <s v="49C"/>
    <s v="None"/>
    <x v="3"/>
    <x v="386"/>
    <s v="Unique"/>
  </r>
  <r>
    <s v="Jesse Lee"/>
    <s v="jesse.lee321@example.com"/>
    <x v="11"/>
    <x v="6"/>
    <d v="1899-12-30T12:00:00"/>
    <s v="49C"/>
    <s v="None"/>
    <x v="3"/>
    <x v="387"/>
    <s v="Unique"/>
  </r>
  <r>
    <s v="Morgan Clark"/>
    <s v="morgan.clark311@example.com"/>
    <x v="0"/>
    <x v="4"/>
    <d v="1899-12-30T00:00:00"/>
    <s v="49D"/>
    <s v="Vegetarian"/>
    <x v="3"/>
    <x v="388"/>
    <s v="Unique"/>
  </r>
  <r>
    <s v="Morgan Walker"/>
    <s v="morgan.walker307@example.com"/>
    <x v="4"/>
    <x v="0"/>
    <d v="1899-12-30T21:00:00"/>
    <s v="49D"/>
    <s v="Vegetarian"/>
    <x v="3"/>
    <x v="389"/>
    <s v="Unique"/>
  </r>
  <r>
    <s v="Jordan Johnson"/>
    <s v="jordan.johnson660@example.com"/>
    <x v="6"/>
    <x v="0"/>
    <d v="1899-12-30T08:30:00"/>
    <s v="4A"/>
    <s v=" "/>
    <x v="3"/>
    <x v="390"/>
    <s v="Unique"/>
  </r>
  <r>
    <s v="Jamie Clark"/>
    <s v="jamie.clark267@example.com"/>
    <x v="2"/>
    <x v="6"/>
    <d v="1899-12-30T03:30:00"/>
    <s v="4A"/>
    <s v="Kosher"/>
    <x v="3"/>
    <x v="391"/>
    <s v="Unique"/>
  </r>
  <r>
    <s v="Casey Johnson"/>
    <s v="casey.johnson771@example.com"/>
    <x v="7"/>
    <x v="6"/>
    <d v="1899-12-30T08:00:00"/>
    <s v="4C"/>
    <s v="Vegetarian"/>
    <x v="3"/>
    <x v="392"/>
    <s v="Duplicate"/>
  </r>
  <r>
    <s v="Chris Johnson"/>
    <s v="chris.johnson63@example.com"/>
    <x v="9"/>
    <x v="5"/>
    <d v="1899-12-30T11:30:00"/>
    <s v="4C"/>
    <m/>
    <x v="3"/>
    <x v="393"/>
    <s v="Unique"/>
  </r>
  <r>
    <s v="Casey Johnson"/>
    <s v="casey.johnson771@example.com"/>
    <x v="7"/>
    <x v="6"/>
    <d v="1899-12-30T08:00:00"/>
    <s v="4C"/>
    <s v="Vegetarian"/>
    <x v="3"/>
    <x v="392"/>
    <s v="Duplicate"/>
  </r>
  <r>
    <s v="Drew Allen"/>
    <s v="drew.allen30@example.com"/>
    <x v="3"/>
    <x v="4"/>
    <d v="1899-12-30T13:00:00"/>
    <s v="4C"/>
    <m/>
    <x v="3"/>
    <x v="394"/>
    <s v="Unique"/>
  </r>
  <r>
    <s v="Drew Wilson"/>
    <s v="drew.wilson969@example.com"/>
    <x v="2"/>
    <x v="3"/>
    <d v="1899-12-30T14:00:00"/>
    <s v="4D"/>
    <s v=" "/>
    <x v="3"/>
    <x v="395"/>
    <s v="Unique"/>
  </r>
  <r>
    <s v="Jesse Brown"/>
    <s v="jesse.brown791@example.com"/>
    <x v="10"/>
    <x v="0"/>
    <d v="1899-12-30T08:00:00"/>
    <s v="4D"/>
    <s v=" "/>
    <x v="3"/>
    <x v="396"/>
    <s v="Unique"/>
  </r>
  <r>
    <s v="Casey Johnson"/>
    <s v="casey.johnson948@example.com"/>
    <x v="1"/>
    <x v="2"/>
    <d v="1899-12-30T11:30:00"/>
    <s v="50A"/>
    <s v="Vegetarian"/>
    <x v="1"/>
    <x v="397"/>
    <s v="Unique"/>
  </r>
  <r>
    <s v="Jamie Lewis"/>
    <s v="jamie.lewis584@example.com"/>
    <x v="10"/>
    <x v="4"/>
    <d v="1899-12-30T22:00:00"/>
    <s v="50A"/>
    <s v="Kosher"/>
    <x v="3"/>
    <x v="398"/>
    <s v="Unique"/>
  </r>
  <r>
    <s v="Jordan Brown"/>
    <s v="jordan.brown856@example.com"/>
    <x v="2"/>
    <x v="2"/>
    <d v="1899-12-30T04:00:00"/>
    <s v="50A"/>
    <m/>
    <x v="3"/>
    <x v="399"/>
    <s v="Unique"/>
  </r>
  <r>
    <s v="Drew Wilson"/>
    <s v="drew.wilson97@example.com"/>
    <x v="10"/>
    <x v="3"/>
    <d v="1899-12-30T14:00:00"/>
    <s v="50B"/>
    <s v="Vegetarian"/>
    <x v="3"/>
    <x v="400"/>
    <s v="Unique"/>
  </r>
  <r>
    <s v="Morgan Walker"/>
    <s v="morgan.walker717@example.com"/>
    <x v="8"/>
    <x v="1"/>
    <d v="1899-12-30T05:00:00"/>
    <s v="50B"/>
    <s v="Halal"/>
    <x v="3"/>
    <x v="401"/>
    <s v="Unique"/>
  </r>
  <r>
    <s v="Jamie Lee"/>
    <s v="jamie.lee321@example.com"/>
    <x v="1"/>
    <x v="3"/>
    <d v="1899-12-30T20:30:00"/>
    <s v="50B"/>
    <s v="None"/>
    <x v="3"/>
    <x v="402"/>
    <s v="Unique"/>
  </r>
  <r>
    <s v="Chris Hall"/>
    <s v="chris.hall916@example.com"/>
    <x v="9"/>
    <x v="0"/>
    <d v="1899-12-30T18:30:00"/>
    <s v="50C"/>
    <s v="Vegetarian"/>
    <x v="3"/>
    <x v="403"/>
    <s v="Duplicate"/>
  </r>
  <r>
    <s v="Chris Hall"/>
    <s v="chris.hall916@example.com"/>
    <x v="9"/>
    <x v="0"/>
    <d v="1899-12-30T18:30:00"/>
    <s v="50C"/>
    <s v="Vegetarian"/>
    <x v="3"/>
    <x v="403"/>
    <s v="Duplicate"/>
  </r>
  <r>
    <s v="Drew Clark"/>
    <s v="drew.clark398@example.com"/>
    <x v="8"/>
    <x v="4"/>
    <d v="1899-12-30T18:00:00"/>
    <s v="50C"/>
    <s v="Vegan"/>
    <x v="3"/>
    <x v="404"/>
    <s v="Unique"/>
  </r>
  <r>
    <s v="Jesse Smith"/>
    <s v="jesse.smith846@example.com"/>
    <x v="0"/>
    <x v="3"/>
    <d v="1899-12-30T11:30:00"/>
    <s v="50D"/>
    <s v="None"/>
    <x v="3"/>
    <x v="405"/>
    <s v="Unique"/>
  </r>
  <r>
    <s v="Casey Lewis"/>
    <s v="casey.lewis980@example.com"/>
    <x v="1"/>
    <x v="6"/>
    <d v="1899-12-30T13:30:00"/>
    <s v="50D"/>
    <s v=" "/>
    <x v="3"/>
    <x v="406"/>
    <s v="Duplicate"/>
  </r>
  <r>
    <s v="Casey Lewis"/>
    <s v="casey.lewis980@example.com"/>
    <x v="1"/>
    <x v="6"/>
    <d v="1899-12-30T13:30:00"/>
    <s v="50D"/>
    <s v=" "/>
    <x v="3"/>
    <x v="406"/>
    <s v="Duplicate"/>
  </r>
  <r>
    <s v="Morgan Lewis"/>
    <s v="morgan.lewis382@example.com"/>
    <x v="1"/>
    <x v="2"/>
    <d v="1899-12-30T10:30:00"/>
    <s v="5A"/>
    <s v="Vegan"/>
    <x v="3"/>
    <x v="407"/>
    <s v="Unique"/>
  </r>
  <r>
    <s v="Jesse Lewis"/>
    <s v="jesse.lewis375@example.com"/>
    <x v="9"/>
    <x v="2"/>
    <d v="1899-12-30T20:00:00"/>
    <s v="5A"/>
    <s v="Halal"/>
    <x v="3"/>
    <x v="408"/>
    <s v="Unique"/>
  </r>
  <r>
    <s v="Jamie Clark"/>
    <s v="jamie.clark903@example.com"/>
    <x v="8"/>
    <x v="4"/>
    <d v="1899-12-30T04:00:00"/>
    <s v="5A"/>
    <s v="None"/>
    <x v="3"/>
    <x v="409"/>
    <s v="Unique"/>
  </r>
  <r>
    <s v="Riley Lewis"/>
    <s v="riley.lewis360@example.com"/>
    <x v="9"/>
    <x v="0"/>
    <d v="1899-12-30T20:00:00"/>
    <s v="5A"/>
    <s v="Halal"/>
    <x v="3"/>
    <x v="410"/>
    <s v="Unique"/>
  </r>
  <r>
    <s v="Jordan Allen"/>
    <s v="jordan.allen27@example.com"/>
    <x v="8"/>
    <x v="5"/>
    <d v="1899-12-30T12:00:00"/>
    <s v="5B"/>
    <s v="Vegan"/>
    <x v="3"/>
    <x v="411"/>
    <s v="Unique"/>
  </r>
  <r>
    <s v="Taylor Brown"/>
    <s v="taylor.brown513@example.com"/>
    <x v="11"/>
    <x v="6"/>
    <d v="1899-12-30T14:30:00"/>
    <s v="5C"/>
    <s v="None"/>
    <x v="3"/>
    <x v="412"/>
    <s v="Duplicate"/>
  </r>
  <r>
    <s v="Morgan Wilson"/>
    <s v="morgan.wilson25@example.com"/>
    <x v="1"/>
    <x v="4"/>
    <d v="1899-12-30T10:30:00"/>
    <s v="5C"/>
    <s v="Halal"/>
    <x v="3"/>
    <x v="413"/>
    <s v="Unique"/>
  </r>
  <r>
    <s v="Chris Allen"/>
    <s v="chris.allen825@example.com"/>
    <x v="4"/>
    <x v="1"/>
    <d v="1899-12-30T06:30:00"/>
    <s v="5C"/>
    <s v="Vegan"/>
    <x v="3"/>
    <x v="414"/>
    <s v="Unique"/>
  </r>
  <r>
    <s v="Taylor Brown"/>
    <s v="taylor.brown513@example.com"/>
    <x v="11"/>
    <x v="6"/>
    <d v="1899-12-30T14:30:00"/>
    <s v="5C"/>
    <s v="None"/>
    <x v="3"/>
    <x v="412"/>
    <s v="Duplicate"/>
  </r>
  <r>
    <s v="Drew Smith"/>
    <s v="drew.smith976@example.com"/>
    <x v="11"/>
    <x v="0"/>
    <d v="1899-12-30T08:30:00"/>
    <s v="5D"/>
    <m/>
    <x v="3"/>
    <x v="415"/>
    <s v="Unique"/>
  </r>
  <r>
    <s v="Jamie Allen"/>
    <s v="jamie.allen3@example.com"/>
    <x v="11"/>
    <x v="3"/>
    <d v="1899-12-30T20:30:00"/>
    <s v="5D"/>
    <s v="Vegetarian"/>
    <x v="3"/>
    <x v="416"/>
    <s v="Duplicate"/>
  </r>
  <r>
    <s v="Jamie Allen"/>
    <s v="jamie.allen3@example.com"/>
    <x v="11"/>
    <x v="3"/>
    <d v="1899-12-30T20:30:00"/>
    <s v="5D"/>
    <s v="Vegetarian"/>
    <x v="3"/>
    <x v="416"/>
    <s v="Duplicate"/>
  </r>
  <r>
    <s v="Chris Walker"/>
    <s v="chris.walker262@example.com"/>
    <x v="1"/>
    <x v="3"/>
    <d v="1899-12-30T09:00:00"/>
    <s v="5D"/>
    <s v="Halal"/>
    <x v="3"/>
    <x v="417"/>
    <s v="Unique"/>
  </r>
  <r>
    <s v="Riley Lee"/>
    <s v="riley.lee778@example.com"/>
    <x v="11"/>
    <x v="0"/>
    <d v="1899-12-30T19:00:00"/>
    <s v="6A"/>
    <s v="Halal"/>
    <x v="3"/>
    <x v="418"/>
    <s v="Unique"/>
  </r>
  <r>
    <s v="Casey Brown"/>
    <s v="casey.brown383@example.com"/>
    <x v="7"/>
    <x v="0"/>
    <d v="1899-12-30T12:00:00"/>
    <s v="6A"/>
    <s v="Vegan"/>
    <x v="3"/>
    <x v="419"/>
    <s v="Unique"/>
  </r>
  <r>
    <s v="Taylor Walker"/>
    <s v="taylor.walker360@example.com"/>
    <x v="11"/>
    <x v="4"/>
    <d v="1899-12-30T07:30:00"/>
    <s v="6A"/>
    <s v="Vegetarian"/>
    <x v="3"/>
    <x v="420"/>
    <s v="Unique"/>
  </r>
  <r>
    <s v="Jamie Brown"/>
    <s v="jamie.brown881@example.com"/>
    <x v="7"/>
    <x v="2"/>
    <d v="1899-12-30T20:00:00"/>
    <s v="6A"/>
    <s v="Vegan"/>
    <x v="3"/>
    <x v="421"/>
    <s v="Unique"/>
  </r>
  <r>
    <s v="Alex Lewis"/>
    <s v="alex.lewis208@example.com"/>
    <x v="11"/>
    <x v="4"/>
    <d v="1899-12-30T05:30:00"/>
    <s v="6C"/>
    <s v="Halal"/>
    <x v="3"/>
    <x v="422"/>
    <s v="Duplicate"/>
  </r>
  <r>
    <s v="Alex Lewis"/>
    <s v="alex.lewis208@example.com"/>
    <x v="11"/>
    <x v="4"/>
    <d v="1899-12-30T05:30:00"/>
    <s v="6C"/>
    <s v="Halal"/>
    <x v="3"/>
    <x v="422"/>
    <s v="Duplicate"/>
  </r>
  <r>
    <s v="Drew Brown"/>
    <s v="drew.brown806@example.com"/>
    <x v="9"/>
    <x v="4"/>
    <d v="1899-12-30T17:30:00"/>
    <s v="6C"/>
    <s v="Vegetarian"/>
    <x v="3"/>
    <x v="423"/>
    <s v="Unique"/>
  </r>
  <r>
    <s v="Casey Allen"/>
    <s v="casey.allen843@example.com"/>
    <x v="3"/>
    <x v="5"/>
    <d v="1899-12-30T10:00:00"/>
    <s v="6C"/>
    <m/>
    <x v="3"/>
    <x v="424"/>
    <s v="Unique"/>
  </r>
  <r>
    <s v="Alex Lewis"/>
    <s v="alex.lewis55@example.com"/>
    <x v="7"/>
    <x v="5"/>
    <d v="1899-12-30T07:30:00"/>
    <s v="6C"/>
    <s v="Vegetarian"/>
    <x v="3"/>
    <x v="425"/>
    <s v="Unique"/>
  </r>
  <r>
    <s v="Alex Johnson"/>
    <s v="alex.johnson808@example.com"/>
    <x v="10"/>
    <x v="3"/>
    <d v="1899-12-30T23:00:00"/>
    <s v="6C"/>
    <s v="Halal"/>
    <x v="3"/>
    <x v="426"/>
    <s v="Unique"/>
  </r>
  <r>
    <s v="Casey Lewis"/>
    <s v="casey.lewis387@example.com"/>
    <x v="9"/>
    <x v="0"/>
    <d v="1899-12-30T11:00:00"/>
    <s v="6D"/>
    <s v=" "/>
    <x v="3"/>
    <x v="427"/>
    <s v="Unique"/>
  </r>
  <r>
    <s v="Riley Lewis"/>
    <s v="riley.lewis348@example.com"/>
    <x v="3"/>
    <x v="0"/>
    <d v="1899-12-30T11:30:00"/>
    <s v="6D"/>
    <s v="Vegan"/>
    <x v="3"/>
    <x v="428"/>
    <s v="Unique"/>
  </r>
  <r>
    <s v="Taylor Smith"/>
    <s v="taylor.smith873@example.com"/>
    <x v="8"/>
    <x v="6"/>
    <d v="1899-12-30T13:00:00"/>
    <s v="7A"/>
    <s v="Vegan"/>
    <x v="3"/>
    <x v="429"/>
    <s v="Duplicate"/>
  </r>
  <r>
    <s v="Drew Brown"/>
    <s v="drew.brown327@example.com"/>
    <x v="6"/>
    <x v="0"/>
    <d v="1899-12-30T17:30:00"/>
    <s v="7A"/>
    <s v="Halal"/>
    <x v="3"/>
    <x v="430"/>
    <s v="Unique"/>
  </r>
  <r>
    <s v="Taylor Smith"/>
    <s v="taylor.smith873@example.com"/>
    <x v="8"/>
    <x v="6"/>
    <d v="1899-12-30T13:00:00"/>
    <s v="7A"/>
    <s v="Vegan"/>
    <x v="3"/>
    <x v="429"/>
    <s v="Duplicate"/>
  </r>
  <r>
    <s v="Chris Lee"/>
    <s v="chris.lee390@example.com"/>
    <x v="11"/>
    <x v="1"/>
    <d v="1899-12-30T12:30:00"/>
    <s v="7A"/>
    <s v="Vegan"/>
    <x v="3"/>
    <x v="431"/>
    <s v="Unique"/>
  </r>
  <r>
    <s v="Jamie Smith"/>
    <s v="jamie.smith974@example.com"/>
    <x v="5"/>
    <x v="3"/>
    <d v="1899-12-30T23:30:00"/>
    <s v="7B"/>
    <s v="None"/>
    <x v="3"/>
    <x v="432"/>
    <s v="Duplicate"/>
  </r>
  <r>
    <s v="Jamie Smith"/>
    <s v="jamie.smith974@example.com"/>
    <x v="5"/>
    <x v="3"/>
    <d v="1899-12-30T23:30:00"/>
    <s v="7B"/>
    <s v="None"/>
    <x v="3"/>
    <x v="432"/>
    <s v="Duplicate"/>
  </r>
  <r>
    <s v="Jamie Allen"/>
    <s v="jamie.allen54@example.com"/>
    <x v="1"/>
    <x v="2"/>
    <d v="1899-12-30T02:30:00"/>
    <s v="7D"/>
    <s v="Halal"/>
    <x v="3"/>
    <x v="433"/>
    <s v="Unique"/>
  </r>
  <r>
    <s v="Jamie Smith"/>
    <s v="jamie.smith52@example.com"/>
    <x v="8"/>
    <x v="0"/>
    <d v="1899-12-30T09:00:00"/>
    <s v="7D"/>
    <s v="Vegetarian"/>
    <x v="3"/>
    <x v="434"/>
    <s v="Unique"/>
  </r>
  <r>
    <s v="Taylor Johnson"/>
    <s v="taylor.johnson166@example.com"/>
    <x v="11"/>
    <x v="0"/>
    <d v="1899-12-30T17:00:00"/>
    <s v="8A"/>
    <m/>
    <x v="3"/>
    <x v="435"/>
    <s v="Duplicate"/>
  </r>
  <r>
    <s v="Taylor Allen"/>
    <s v="taylor.allen3@example.com"/>
    <x v="8"/>
    <x v="1"/>
    <d v="1899-12-30T03:30:00"/>
    <s v="8A"/>
    <s v="Vegetarian"/>
    <x v="3"/>
    <x v="436"/>
    <s v="Duplicate"/>
  </r>
  <r>
    <s v="Taylor Allen"/>
    <s v="taylor.allen3@example.com"/>
    <x v="8"/>
    <x v="1"/>
    <d v="1899-12-30T03:30:00"/>
    <s v="8A"/>
    <s v="Vegetarian"/>
    <x v="3"/>
    <x v="436"/>
    <s v="Duplicate"/>
  </r>
  <r>
    <s v="Jamie Lewis"/>
    <s v="jamie.lewis124@example.com"/>
    <x v="9"/>
    <x v="6"/>
    <d v="1899-12-30T20:30:00"/>
    <s v="8A"/>
    <s v="Vegetarian"/>
    <x v="3"/>
    <x v="437"/>
    <s v="Unique"/>
  </r>
  <r>
    <s v="Taylor Johnson"/>
    <s v="taylor.johnson166@example.com"/>
    <x v="11"/>
    <x v="0"/>
    <d v="1899-12-30T17:00:00"/>
    <s v="8A"/>
    <m/>
    <x v="3"/>
    <x v="435"/>
    <s v="Duplicate"/>
  </r>
  <r>
    <s v="Drew Allen"/>
    <s v="drew.allen615@example.com"/>
    <x v="10"/>
    <x v="2"/>
    <d v="1899-12-30T22:30:00"/>
    <s v="8A"/>
    <s v=" "/>
    <x v="3"/>
    <x v="438"/>
    <s v="Unique"/>
  </r>
  <r>
    <s v="Jamie Wilson"/>
    <s v="jamie.wilson427@example.com"/>
    <x v="11"/>
    <x v="6"/>
    <d v="1899-12-30T02:30:00"/>
    <s v="8A"/>
    <s v="Vegetarian"/>
    <x v="3"/>
    <x v="439"/>
    <s v="Unique"/>
  </r>
  <r>
    <s v="Morgan Brown"/>
    <s v="morgan.brown651@example.com"/>
    <x v="10"/>
    <x v="2"/>
    <d v="1899-12-30T20:30:00"/>
    <s v="8B"/>
    <s v="Vegan"/>
    <x v="3"/>
    <x v="440"/>
    <s v="Unique"/>
  </r>
  <r>
    <s v="Taylor Hall"/>
    <s v="taylor.hall977@example.com"/>
    <x v="9"/>
    <x v="3"/>
    <d v="1899-12-30T15:00:00"/>
    <s v="8C"/>
    <s v=" "/>
    <x v="3"/>
    <x v="441"/>
    <s v="Unique"/>
  </r>
  <r>
    <s v="Jamie Walker"/>
    <s v="jamie.walker247@example.com"/>
    <x v="1"/>
    <x v="5"/>
    <d v="1899-12-30T13:30:00"/>
    <s v="8D"/>
    <s v="Halal"/>
    <x v="3"/>
    <x v="442"/>
    <s v="Unique"/>
  </r>
  <r>
    <s v="Chris Brown"/>
    <s v="chris.brown396@example.com"/>
    <x v="9"/>
    <x v="0"/>
    <d v="1899-12-30T19:00:00"/>
    <s v="9A"/>
    <s v="Kosher"/>
    <x v="3"/>
    <x v="443"/>
    <s v="Unique"/>
  </r>
  <r>
    <s v="Jesse Walker"/>
    <s v="jesse.walker947@example.com"/>
    <x v="9"/>
    <x v="1"/>
    <d v="1899-12-30T00:00:00"/>
    <s v="9A"/>
    <s v="Kosher"/>
    <x v="3"/>
    <x v="444"/>
    <s v="Duplicate"/>
  </r>
  <r>
    <s v="Jesse Walker"/>
    <s v="jesse.walker947@example.com"/>
    <x v="9"/>
    <x v="1"/>
    <d v="1899-12-30T00:00:00"/>
    <s v="9A"/>
    <s v="Kosher"/>
    <x v="3"/>
    <x v="444"/>
    <s v="Duplicate"/>
  </r>
  <r>
    <s v="Morgan Johnson"/>
    <s v="morgan.johnson668@example.com"/>
    <x v="7"/>
    <x v="5"/>
    <d v="1899-12-30T23:00:00"/>
    <s v="9B"/>
    <s v="None"/>
    <x v="3"/>
    <x v="445"/>
    <s v="Unique"/>
  </r>
  <r>
    <s v="Jamie Smith"/>
    <s v="jamie.smith372@example.com"/>
    <x v="8"/>
    <x v="4"/>
    <d v="1899-12-30T18:30:00"/>
    <s v="9B"/>
    <s v="Vegan"/>
    <x v="3"/>
    <x v="446"/>
    <s v="Unique"/>
  </r>
  <r>
    <s v="Taylor Hall"/>
    <s v="taylor.hall123@example.com"/>
    <x v="7"/>
    <x v="3"/>
    <d v="1899-12-30T08:30:00"/>
    <s v="9B"/>
    <s v="None"/>
    <x v="3"/>
    <x v="447"/>
    <s v="Unique"/>
  </r>
  <r>
    <s v="Alex Lee"/>
    <s v="alex.lee509@example.com"/>
    <x v="5"/>
    <x v="5"/>
    <d v="1899-12-30T05:30:00"/>
    <s v="9C"/>
    <m/>
    <x v="3"/>
    <x v="448"/>
    <s v="Unique"/>
  </r>
  <r>
    <s v="Morgan Allen"/>
    <s v="morgan.allen501@example.com"/>
    <x v="4"/>
    <x v="5"/>
    <d v="1899-12-30T01:30:00"/>
    <s v="9D"/>
    <s v="Kosher"/>
    <x v="3"/>
    <x v="449"/>
    <s v="Uniqu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6862D9-30B4-44EE-8AC8-7B8ED4A80A4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8:B34" firstHeaderRow="1" firstDataRow="1" firstDataCol="1"/>
  <pivotFields count="10">
    <pivotField showAll="0"/>
    <pivotField showAll="0"/>
    <pivotField showAll="0"/>
    <pivotField axis="axisRow" showAll="0" sortType="ascending">
      <items count="8">
        <item h="1" x="1"/>
        <item x="3"/>
        <item x="6"/>
        <item x="0"/>
        <item x="5"/>
        <item x="4"/>
        <item h="1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6">
    <i>
      <x v="5"/>
    </i>
    <i>
      <x v="1"/>
    </i>
    <i>
      <x v="3"/>
    </i>
    <i>
      <x v="2"/>
    </i>
    <i>
      <x v="4"/>
    </i>
    <i t="grand">
      <x/>
    </i>
  </rowItems>
  <colItems count="1">
    <i/>
  </colItems>
  <dataFields count="1">
    <dataField name="Count of Temp ID" fld="8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EA58D5-4740-430D-B5A5-BC54DAF7942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2:B23" firstHeaderRow="1" firstDataRow="1" firstDataCol="1"/>
  <pivotFields count="10">
    <pivotField showAll="0"/>
    <pivotField showAll="0"/>
    <pivotField axis="axisRow" showAll="0" sortType="ascending">
      <items count="13">
        <item h="1" x="11"/>
        <item x="7"/>
        <item x="5"/>
        <item x="4"/>
        <item x="2"/>
        <item x="3"/>
        <item x="6"/>
        <item x="9"/>
        <item x="10"/>
        <item x="8"/>
        <item x="0"/>
        <item h="1"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11">
    <i>
      <x v="2"/>
    </i>
    <i>
      <x v="10"/>
    </i>
    <i>
      <x v="4"/>
    </i>
    <i>
      <x v="9"/>
    </i>
    <i>
      <x v="5"/>
    </i>
    <i>
      <x v="8"/>
    </i>
    <i>
      <x v="3"/>
    </i>
    <i>
      <x v="1"/>
    </i>
    <i>
      <x v="7"/>
    </i>
    <i>
      <x v="6"/>
    </i>
    <i t="grand">
      <x/>
    </i>
  </rowItems>
  <colItems count="1">
    <i/>
  </colItems>
  <dataFields count="1">
    <dataField name="Count of Temp ID" fld="8" subtotal="count" baseField="0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A93D5C-9896-465B-8B18-35EC19F16A3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8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dataField="1"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emp ID" fld="8" subtotal="count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C954348-BBCB-4F0E-B17D-9FA7E333A22F}" name="Raw_Table" displayName="Raw_Table" ref="A1:H551" totalsRowShown="0">
  <autoFilter ref="A1:H551" xr:uid="{68AEE7C5-6AA4-4587-831F-0240DC98863B}"/>
  <tableColumns count="8">
    <tableColumn id="1" xr3:uid="{9D2ADF71-6AF6-47C7-9756-E660E48D79E7}" name="Name"/>
    <tableColumn id="2" xr3:uid="{875F724C-1A96-4234-8BE7-A435A6A629C5}" name="Email"/>
    <tableColumn id="3" xr3:uid="{6396E8CB-1BB5-4707-99FB-D6FACB520C90}" name="Country"/>
    <tableColumn id="4" xr3:uid="{0087E230-E788-4F3E-9BEC-3C484B9803D9}" name="Session"/>
    <tableColumn id="5" xr3:uid="{81D3F50D-5BA2-402A-8566-CF9E49D889F4}" name="Arrival Time" dataDxfId="17"/>
    <tableColumn id="6" xr3:uid="{E2F14E70-532D-47C7-AA48-30E2609F4094}" name="Seat"/>
    <tableColumn id="7" xr3:uid="{78779D40-88E4-4C8B-A29B-6DED8410F22D}" name="Food Preference"/>
    <tableColumn id="8" xr3:uid="{ED2A30BB-60BA-4E7A-853E-A938ED281779}" name="Rol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8AEE7C5-6AA4-4587-831F-0240DC98863B}" name="EDA_Table" displayName="EDA_Table" ref="A1:J551" totalsRowShown="0" headerRowDxfId="16">
  <autoFilter ref="A1:J551" xr:uid="{68AEE7C5-6AA4-4587-831F-0240DC98863B}"/>
  <tableColumns count="10">
    <tableColumn id="1" xr3:uid="{7E9E4213-E9AB-4C21-9326-3E6320C2A10B}" name="Name"/>
    <tableColumn id="2" xr3:uid="{4BB4FE63-0098-44A2-AF46-377D07CCDFCF}" name="Email"/>
    <tableColumn id="3" xr3:uid="{8BB7DAB1-4918-4AD4-B339-D5E20364F85A}" name="Country"/>
    <tableColumn id="4" xr3:uid="{812F1455-A5B0-4A22-B9CA-ACDF5DD53756}" name="Session"/>
    <tableColumn id="5" xr3:uid="{2880525F-3BC1-4B3C-9835-AD9F9E3E1BD1}" name="Arrival Time" dataDxfId="15"/>
    <tableColumn id="6" xr3:uid="{1D6FF002-F117-4536-80BD-88B29B1236E0}" name="Seat"/>
    <tableColumn id="7" xr3:uid="{A7B83151-80E5-44CD-B498-82DD11D15736}" name="Food Preference"/>
    <tableColumn id="8" xr3:uid="{A36EC5DE-AB80-4D34-8554-21D2DF73AE69}" name="Role"/>
    <tableColumn id="9" xr3:uid="{CF9848C0-7928-4F76-BFFB-4B825AC30C18}" name="Temp ID" dataDxfId="14">
      <calculatedColumnFormula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calculatedColumnFormula>
    </tableColumn>
    <tableColumn id="10" xr3:uid="{653B8925-EA2F-4505-B1D4-040F0E72FD6D}" name="Duplicate Check" dataDxfId="13">
      <calculatedColumnFormula>IF(COUNTIF(EDA_Table[Temp ID],EDA_Table[[#This Row],[Temp ID]])&gt;1,"Duplicate","Unique")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342F6CA-B634-4AD6-AACA-963679810EE1}" name="Clean_Table" displayName="Clean_Table" ref="A1:P451" totalsRowShown="0">
  <autoFilter ref="A1:P451" xr:uid="{68AEE7C5-6AA4-4587-831F-0240DC98863B}"/>
  <tableColumns count="16">
    <tableColumn id="1" xr3:uid="{2B506D2A-D12F-46DF-84CF-7E02CF7D1F34}" name="Name"/>
    <tableColumn id="2" xr3:uid="{B2C4D86A-A380-4908-9EBF-8CE3A9D74060}" name="Email"/>
    <tableColumn id="3" xr3:uid="{DE1343DE-7E0C-458F-8AAB-A5DBC7FC9144}" name="Country"/>
    <tableColumn id="4" xr3:uid="{B9C49728-EC0C-4175-955A-A5A25ADE4C85}" name="Session"/>
    <tableColumn id="5" xr3:uid="{7184D400-8837-4CD8-AD6E-208A0408AEF9}" name="Arrival Time" dataDxfId="12"/>
    <tableColumn id="6" xr3:uid="{A3BF8E25-1435-4FEE-B26A-C49E5A249B16}" name="Seat"/>
    <tableColumn id="7" xr3:uid="{FB1213A1-D6E3-4F08-9E04-FCB9C3EB1D91}" name="Food Preference"/>
    <tableColumn id="8" xr3:uid="{5A4D092D-9734-48A0-96B3-4810BEFC3335}" name="Role"/>
    <tableColumn id="9" xr3:uid="{C6EE860B-8C71-40D6-96F3-37C7B16A7F4C}" name="Empty Cell Check" dataDxfId="11">
      <calculatedColumnFormula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calculatedColumnFormula>
    </tableColumn>
    <tableColumn id="10" xr3:uid="{F2E627A5-64A6-4263-94E0-492895AF4150}" name="Temp ID" dataDxfId="10">
      <calculatedColumnFormula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calculatedColumnFormula>
    </tableColumn>
    <tableColumn id="11" xr3:uid="{69042AA3-2F82-485E-82F5-60DF16806FA1}" name="Duplicate Check" dataDxfId="9">
      <calculatedColumnFormula>IF(COUNTIF(Clean_Table[Temp ID],Clean_Table[[#This Row],[Temp ID]])&gt;1,"Duplicate","Unique")</calculatedColumnFormula>
    </tableColumn>
    <tableColumn id="12" xr3:uid="{D50C11F3-F9B2-444A-990E-4BE53C3885D1}" name="IsVIP" dataDxfId="8">
      <calculatedColumnFormula>IF(Clean_Table[[#This Row],[Role]]="VIP",1,0)</calculatedColumnFormula>
    </tableColumn>
    <tableColumn id="13" xr3:uid="{574F1915-58CC-4270-BED3-8C7F0B2D3136}" name="IsSpeaker" dataDxfId="7">
      <calculatedColumnFormula>IF(Clean_Table[[#This Row],[Role]]="Speaker",1,0)</calculatedColumnFormula>
    </tableColumn>
    <tableColumn id="14" xr3:uid="{F13B4856-C046-423E-9C11-270296CC1455}" name="IsSponsor" dataDxfId="6">
      <calculatedColumnFormula>IF(Clean_Table[[#This Row],[Role]]="Sponsor",1,0)</calculatedColumnFormula>
    </tableColumn>
    <tableColumn id="15" xr3:uid="{85F6F504-17FC-4F26-AA73-4211C5CF5171}" name="IsNormalAttendee" dataDxfId="5">
      <calculatedColumnFormula>IF(Clean_Table[[#This Row],[Role]]="Attendee",1,0)</calculatedColumnFormula>
    </tableColumn>
    <tableColumn id="16" xr3:uid="{D981E7BF-8CFC-4D61-89AC-D959ACD4F83D}" name="Missing Flag" dataDxfId="4">
      <calculatedColumnFormula>IF(Clean_Table[[#This Row],[Empty Cell Check]]="Missing",1,0)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jamie.smith48@example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mailto:jamie.smith48@example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5DAAB-665F-402A-905F-165D3D0F4AC7}">
  <dimension ref="A1:AC51"/>
  <sheetViews>
    <sheetView workbookViewId="0">
      <selection activeCell="B20" sqref="B20"/>
    </sheetView>
  </sheetViews>
  <sheetFormatPr defaultRowHeight="15"/>
  <cols>
    <col min="1" max="1" width="78.5703125" style="4" customWidth="1"/>
    <col min="2" max="2" width="93.7109375" style="4" customWidth="1"/>
    <col min="3" max="3" width="34.7109375" bestFit="1" customWidth="1"/>
    <col min="4" max="4" width="34.140625" bestFit="1" customWidth="1"/>
  </cols>
  <sheetData>
    <row r="1" spans="1:29" ht="15.75" customHeight="1">
      <c r="A1" s="15" t="s">
        <v>888</v>
      </c>
      <c r="G1" s="19"/>
      <c r="H1" s="19"/>
      <c r="I1" s="19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</row>
    <row r="3" spans="1:29" ht="18">
      <c r="A3" s="16" t="s">
        <v>889</v>
      </c>
    </row>
    <row r="5" spans="1:29" ht="45">
      <c r="A5" s="14" t="s">
        <v>890</v>
      </c>
    </row>
    <row r="7" spans="1:29" ht="18">
      <c r="A7" s="16" t="s">
        <v>891</v>
      </c>
    </row>
    <row r="8" spans="1:29">
      <c r="A8" s="14"/>
    </row>
    <row r="9" spans="1:29">
      <c r="A9" s="3" t="s">
        <v>761</v>
      </c>
      <c r="B9" s="3" t="s">
        <v>762</v>
      </c>
      <c r="C9" s="20" t="s">
        <v>763</v>
      </c>
      <c r="D9" s="20" t="s">
        <v>892</v>
      </c>
    </row>
    <row r="10" spans="1:29">
      <c r="A10" s="14" t="s">
        <v>893</v>
      </c>
      <c r="B10" s="14" t="s">
        <v>894</v>
      </c>
      <c r="C10" s="5" t="s">
        <v>895</v>
      </c>
      <c r="D10" s="5" t="s">
        <v>896</v>
      </c>
    </row>
    <row r="11" spans="1:29">
      <c r="A11" s="14" t="s">
        <v>897</v>
      </c>
      <c r="B11" s="17" t="s">
        <v>898</v>
      </c>
      <c r="C11" s="5" t="s">
        <v>899</v>
      </c>
      <c r="D11" s="5" t="s">
        <v>900</v>
      </c>
    </row>
    <row r="12" spans="1:29">
      <c r="A12" s="14" t="s">
        <v>901</v>
      </c>
      <c r="B12" s="14" t="s">
        <v>902</v>
      </c>
      <c r="C12" s="5" t="s">
        <v>903</v>
      </c>
      <c r="D12" s="5" t="s">
        <v>904</v>
      </c>
    </row>
    <row r="13" spans="1:29">
      <c r="A13" s="14" t="s">
        <v>905</v>
      </c>
      <c r="B13" s="17" t="s">
        <v>777</v>
      </c>
      <c r="C13" s="5" t="s">
        <v>906</v>
      </c>
      <c r="D13" s="5" t="s">
        <v>907</v>
      </c>
    </row>
    <row r="14" spans="1:29" ht="25.5">
      <c r="A14" s="14" t="s">
        <v>908</v>
      </c>
      <c r="B14" s="17" t="s">
        <v>909</v>
      </c>
      <c r="C14" s="5" t="s">
        <v>910</v>
      </c>
      <c r="D14" s="5" t="s">
        <v>911</v>
      </c>
    </row>
    <row r="15" spans="1:29">
      <c r="A15" s="14" t="s">
        <v>912</v>
      </c>
      <c r="B15" s="17" t="s">
        <v>913</v>
      </c>
      <c r="C15" s="5" t="s">
        <v>914</v>
      </c>
      <c r="D15" s="5" t="s">
        <v>915</v>
      </c>
    </row>
    <row r="17" spans="1:4" ht="18">
      <c r="A17" s="16" t="s">
        <v>916</v>
      </c>
    </row>
    <row r="18" spans="1:4">
      <c r="A18" s="14"/>
    </row>
    <row r="19" spans="1:4">
      <c r="A19" s="3" t="s">
        <v>917</v>
      </c>
      <c r="B19" s="3" t="s">
        <v>918</v>
      </c>
      <c r="C19" s="20" t="s">
        <v>919</v>
      </c>
    </row>
    <row r="20" spans="1:4">
      <c r="A20" s="14" t="s">
        <v>780</v>
      </c>
      <c r="B20" s="17" t="s">
        <v>920</v>
      </c>
      <c r="C20" s="5" t="s">
        <v>921</v>
      </c>
    </row>
    <row r="21" spans="1:4">
      <c r="A21" s="14" t="s">
        <v>781</v>
      </c>
      <c r="B21" s="17" t="s">
        <v>922</v>
      </c>
      <c r="C21" s="5" t="s">
        <v>923</v>
      </c>
    </row>
    <row r="22" spans="1:4">
      <c r="A22" s="14" t="s">
        <v>924</v>
      </c>
      <c r="B22" s="17" t="s">
        <v>925</v>
      </c>
      <c r="C22" s="5" t="s">
        <v>926</v>
      </c>
    </row>
    <row r="23" spans="1:4">
      <c r="A23" s="14" t="s">
        <v>927</v>
      </c>
      <c r="B23" s="17" t="s">
        <v>928</v>
      </c>
      <c r="C23" s="5" t="s">
        <v>929</v>
      </c>
    </row>
    <row r="25" spans="1:4" ht="18">
      <c r="A25" s="16" t="s">
        <v>930</v>
      </c>
    </row>
    <row r="26" spans="1:4">
      <c r="A26" s="14"/>
    </row>
    <row r="27" spans="1:4">
      <c r="A27" s="3" t="s">
        <v>761</v>
      </c>
      <c r="B27" s="3" t="s">
        <v>918</v>
      </c>
      <c r="C27" s="20" t="s">
        <v>763</v>
      </c>
      <c r="D27" s="20" t="s">
        <v>919</v>
      </c>
    </row>
    <row r="28" spans="1:4">
      <c r="A28" s="14" t="s">
        <v>931</v>
      </c>
      <c r="B28" s="14" t="s">
        <v>932</v>
      </c>
      <c r="C28" s="5" t="s">
        <v>933</v>
      </c>
      <c r="D28" s="5" t="s">
        <v>934</v>
      </c>
    </row>
    <row r="29" spans="1:4">
      <c r="A29" s="14" t="s">
        <v>935</v>
      </c>
      <c r="B29" s="17" t="s">
        <v>936</v>
      </c>
      <c r="C29" s="5" t="s">
        <v>937</v>
      </c>
      <c r="D29" s="5" t="s">
        <v>938</v>
      </c>
    </row>
    <row r="31" spans="1:4" ht="18">
      <c r="A31" s="16" t="s">
        <v>939</v>
      </c>
    </row>
    <row r="32" spans="1:4">
      <c r="A32" s="14"/>
    </row>
    <row r="33" spans="1:4">
      <c r="A33" s="3" t="s">
        <v>761</v>
      </c>
      <c r="B33" s="3" t="s">
        <v>918</v>
      </c>
      <c r="C33" s="20" t="s">
        <v>763</v>
      </c>
      <c r="D33" s="20" t="s">
        <v>919</v>
      </c>
    </row>
    <row r="34" spans="1:4">
      <c r="A34" s="14" t="s">
        <v>940</v>
      </c>
      <c r="B34" s="14" t="s">
        <v>941</v>
      </c>
      <c r="C34" s="5" t="s">
        <v>942</v>
      </c>
      <c r="D34" s="5" t="s">
        <v>943</v>
      </c>
    </row>
    <row r="35" spans="1:4">
      <c r="A35" s="14" t="s">
        <v>944</v>
      </c>
      <c r="B35" s="14" t="s">
        <v>945</v>
      </c>
      <c r="C35" s="5" t="s">
        <v>946</v>
      </c>
      <c r="D35" s="5" t="s">
        <v>947</v>
      </c>
    </row>
    <row r="37" spans="1:4" ht="18">
      <c r="A37" s="16" t="s">
        <v>948</v>
      </c>
    </row>
    <row r="38" spans="1:4">
      <c r="A38" s="14"/>
    </row>
    <row r="39" spans="1:4">
      <c r="A39" s="3" t="s">
        <v>761</v>
      </c>
      <c r="B39" s="3" t="s">
        <v>949</v>
      </c>
      <c r="C39" s="20" t="s">
        <v>763</v>
      </c>
      <c r="D39" s="20" t="s">
        <v>919</v>
      </c>
    </row>
    <row r="40" spans="1:4">
      <c r="A40" s="14" t="s">
        <v>950</v>
      </c>
      <c r="B40" s="23" t="s">
        <v>969</v>
      </c>
      <c r="C40" s="5" t="s">
        <v>951</v>
      </c>
      <c r="D40" s="5" t="s">
        <v>952</v>
      </c>
    </row>
    <row r="41" spans="1:4">
      <c r="A41" s="14" t="s">
        <v>953</v>
      </c>
      <c r="B41" s="14" t="s">
        <v>954</v>
      </c>
      <c r="C41" s="5" t="s">
        <v>955</v>
      </c>
      <c r="D41" s="5" t="s">
        <v>956</v>
      </c>
    </row>
    <row r="42" spans="1:4">
      <c r="A42" s="14" t="s">
        <v>957</v>
      </c>
      <c r="B42" s="14" t="s">
        <v>958</v>
      </c>
      <c r="C42" s="5" t="s">
        <v>959</v>
      </c>
      <c r="D42" s="5" t="s">
        <v>960</v>
      </c>
    </row>
    <row r="43" spans="1:4">
      <c r="A43" s="14" t="s">
        <v>961</v>
      </c>
      <c r="B43" s="14" t="s">
        <v>962</v>
      </c>
      <c r="C43" s="5" t="s">
        <v>963</v>
      </c>
      <c r="D43" s="5" t="s">
        <v>964</v>
      </c>
    </row>
    <row r="45" spans="1:4" ht="18">
      <c r="A45" s="16" t="s">
        <v>965</v>
      </c>
    </row>
    <row r="46" spans="1:4">
      <c r="A46" s="21"/>
    </row>
    <row r="47" spans="1:4" ht="30">
      <c r="A47" s="22" t="s">
        <v>966</v>
      </c>
    </row>
    <row r="48" spans="1:4">
      <c r="A48" s="21"/>
    </row>
    <row r="49" spans="1:1">
      <c r="A49" s="22" t="s">
        <v>967</v>
      </c>
    </row>
    <row r="50" spans="1:1">
      <c r="A50" s="21"/>
    </row>
    <row r="51" spans="1:1" ht="30">
      <c r="A51" s="22" t="s">
        <v>968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7028F-6BB6-4169-A844-A93E137D1984}">
  <dimension ref="A1:D15"/>
  <sheetViews>
    <sheetView workbookViewId="0">
      <selection activeCell="D15" sqref="A1:D15"/>
    </sheetView>
  </sheetViews>
  <sheetFormatPr defaultRowHeight="15"/>
  <cols>
    <col min="1" max="1" width="27.140625" style="4" bestFit="1" customWidth="1"/>
    <col min="2" max="2" width="58.7109375" style="4" bestFit="1" customWidth="1"/>
    <col min="3" max="3" width="43.140625" style="4" bestFit="1" customWidth="1"/>
    <col min="4" max="4" width="60" style="4" bestFit="1" customWidth="1"/>
  </cols>
  <sheetData>
    <row r="1" spans="1:4">
      <c r="A1" s="3" t="s">
        <v>761</v>
      </c>
      <c r="B1" s="3" t="s">
        <v>762</v>
      </c>
      <c r="C1" s="3" t="s">
        <v>763</v>
      </c>
      <c r="D1" s="3" t="s">
        <v>764</v>
      </c>
    </row>
    <row r="2" spans="1:4">
      <c r="A2" s="4" t="s">
        <v>765</v>
      </c>
      <c r="B2" s="4" t="s">
        <v>766</v>
      </c>
      <c r="C2" s="4" t="s">
        <v>767</v>
      </c>
      <c r="D2" s="4" t="s">
        <v>768</v>
      </c>
    </row>
    <row r="3" spans="1:4" ht="45">
      <c r="A3" s="4" t="s">
        <v>769</v>
      </c>
      <c r="B3" s="4" t="s">
        <v>870</v>
      </c>
      <c r="C3" s="4" t="s">
        <v>770</v>
      </c>
      <c r="D3" s="4" t="s">
        <v>771</v>
      </c>
    </row>
    <row r="4" spans="1:4" ht="45">
      <c r="A4" s="4" t="s">
        <v>862</v>
      </c>
      <c r="B4" s="4" t="s">
        <v>772</v>
      </c>
      <c r="C4" s="4" t="s">
        <v>773</v>
      </c>
      <c r="D4" s="4" t="s">
        <v>774</v>
      </c>
    </row>
    <row r="5" spans="1:4" ht="30">
      <c r="A5" s="4" t="s">
        <v>863</v>
      </c>
      <c r="B5" t="s">
        <v>777</v>
      </c>
      <c r="C5" s="4" t="s">
        <v>775</v>
      </c>
      <c r="D5" s="4" t="s">
        <v>776</v>
      </c>
    </row>
    <row r="6" spans="1:4" ht="30">
      <c r="A6" s="4" t="s">
        <v>778</v>
      </c>
      <c r="B6" s="4" t="s">
        <v>784</v>
      </c>
      <c r="C6" s="4" t="s">
        <v>785</v>
      </c>
      <c r="D6" s="4" t="s">
        <v>788</v>
      </c>
    </row>
    <row r="7" spans="1:4" ht="45">
      <c r="A7" s="4" t="s">
        <v>793</v>
      </c>
      <c r="B7" s="4" t="s">
        <v>794</v>
      </c>
      <c r="C7" s="4" t="s">
        <v>795</v>
      </c>
      <c r="D7" s="4" t="s">
        <v>796</v>
      </c>
    </row>
    <row r="8" spans="1:4" ht="30">
      <c r="A8" s="4" t="s">
        <v>804</v>
      </c>
      <c r="B8" s="4" t="s">
        <v>805</v>
      </c>
      <c r="C8" s="4" t="s">
        <v>806</v>
      </c>
      <c r="D8" s="4" t="s">
        <v>808</v>
      </c>
    </row>
    <row r="9" spans="1:4" ht="60">
      <c r="A9" s="4" t="s">
        <v>809</v>
      </c>
      <c r="B9" s="4" t="s">
        <v>811</v>
      </c>
      <c r="C9" s="4" t="s">
        <v>813</v>
      </c>
    </row>
    <row r="10" spans="1:4" ht="30">
      <c r="A10" s="4" t="s">
        <v>809</v>
      </c>
      <c r="B10" s="4" t="s">
        <v>812</v>
      </c>
    </row>
    <row r="11" spans="1:4" ht="45">
      <c r="A11" s="4" t="s">
        <v>769</v>
      </c>
      <c r="B11" s="4" t="s">
        <v>870</v>
      </c>
      <c r="C11" s="4" t="s">
        <v>770</v>
      </c>
      <c r="D11" s="4" t="s">
        <v>771</v>
      </c>
    </row>
    <row r="12" spans="1:4" ht="30">
      <c r="A12" s="4" t="s">
        <v>864</v>
      </c>
      <c r="B12" t="s">
        <v>777</v>
      </c>
      <c r="C12" s="4" t="s">
        <v>775</v>
      </c>
      <c r="D12" s="4" t="s">
        <v>776</v>
      </c>
    </row>
    <row r="13" spans="1:4" ht="30">
      <c r="A13" s="4" t="s">
        <v>865</v>
      </c>
      <c r="B13" s="4" t="s">
        <v>866</v>
      </c>
      <c r="C13" s="4" t="s">
        <v>867</v>
      </c>
      <c r="D13" s="4" t="s">
        <v>868</v>
      </c>
    </row>
    <row r="14" spans="1:4" ht="60">
      <c r="A14" s="4" t="s">
        <v>874</v>
      </c>
      <c r="B14" s="4" t="s">
        <v>885</v>
      </c>
      <c r="C14" s="4" t="s">
        <v>875</v>
      </c>
      <c r="D14" s="4" t="s">
        <v>876</v>
      </c>
    </row>
    <row r="15" spans="1:4" ht="150">
      <c r="A15" s="4" t="s">
        <v>879</v>
      </c>
      <c r="B15" s="4" t="s">
        <v>882</v>
      </c>
      <c r="C15" s="4" t="s">
        <v>883</v>
      </c>
      <c r="D15" s="4" t="s">
        <v>884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C0408-DDD0-401A-B50A-F7A834787EDD}">
  <dimension ref="A1:H551"/>
  <sheetViews>
    <sheetView workbookViewId="0">
      <selection activeCell="C9" sqref="C9"/>
    </sheetView>
  </sheetViews>
  <sheetFormatPr defaultRowHeight="15"/>
  <cols>
    <col min="1" max="1" width="15" bestFit="1" customWidth="1"/>
    <col min="2" max="2" width="31.42578125" bestFit="1" customWidth="1"/>
    <col min="3" max="3" width="14.42578125" bestFit="1" customWidth="1"/>
    <col min="4" max="4" width="24.85546875" bestFit="1" customWidth="1"/>
    <col min="5" max="5" width="13" customWidth="1"/>
    <col min="6" max="6" width="6.7109375" customWidth="1"/>
    <col min="7" max="7" width="17.140625" customWidth="1"/>
    <col min="8" max="8" width="8.140625" bestFit="1" customWidth="1"/>
    <col min="9" max="9" width="110.140625" bestFit="1" customWidth="1"/>
    <col min="10" max="10" width="17.5703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10</v>
      </c>
      <c r="B2" t="s">
        <v>11</v>
      </c>
      <c r="C2" t="s">
        <v>12</v>
      </c>
      <c r="D2" t="s">
        <v>13</v>
      </c>
      <c r="E2" s="1">
        <v>0.95833333333333337</v>
      </c>
      <c r="F2" t="s">
        <v>14</v>
      </c>
      <c r="G2" t="s">
        <v>15</v>
      </c>
      <c r="H2" t="s">
        <v>16</v>
      </c>
    </row>
    <row r="3" spans="1:8">
      <c r="A3" t="s">
        <v>17</v>
      </c>
      <c r="B3" t="s">
        <v>18</v>
      </c>
      <c r="C3" t="s">
        <v>12</v>
      </c>
      <c r="D3" t="s">
        <v>19</v>
      </c>
      <c r="E3" s="1">
        <v>0.52083333333333337</v>
      </c>
      <c r="F3" t="s">
        <v>20</v>
      </c>
      <c r="G3" t="s">
        <v>19</v>
      </c>
      <c r="H3" t="s">
        <v>21</v>
      </c>
    </row>
    <row r="4" spans="1:8">
      <c r="A4" t="s">
        <v>22</v>
      </c>
      <c r="B4" t="s">
        <v>23</v>
      </c>
      <c r="D4" t="s">
        <v>13</v>
      </c>
      <c r="E4" s="2">
        <v>0.54166666666666663</v>
      </c>
      <c r="F4" t="s">
        <v>20</v>
      </c>
      <c r="G4" t="s">
        <v>15</v>
      </c>
      <c r="H4" t="s">
        <v>24</v>
      </c>
    </row>
    <row r="5" spans="1:8">
      <c r="A5" t="s">
        <v>25</v>
      </c>
      <c r="B5" t="s">
        <v>26</v>
      </c>
      <c r="C5" t="s">
        <v>27</v>
      </c>
      <c r="D5" t="s">
        <v>19</v>
      </c>
      <c r="E5" s="2">
        <v>0.3125</v>
      </c>
      <c r="F5" t="s">
        <v>20</v>
      </c>
      <c r="G5" t="s">
        <v>28</v>
      </c>
      <c r="H5" t="s">
        <v>16</v>
      </c>
    </row>
    <row r="6" spans="1:8">
      <c r="A6" t="s">
        <v>29</v>
      </c>
      <c r="B6" t="s">
        <v>30</v>
      </c>
      <c r="C6" t="s">
        <v>12</v>
      </c>
      <c r="D6" t="s">
        <v>19</v>
      </c>
      <c r="E6" s="2">
        <v>0.14583333333333334</v>
      </c>
      <c r="F6" t="s">
        <v>20</v>
      </c>
      <c r="G6" t="s">
        <v>31</v>
      </c>
      <c r="H6" t="s">
        <v>24</v>
      </c>
    </row>
    <row r="7" spans="1:8">
      <c r="A7" t="s">
        <v>32</v>
      </c>
      <c r="B7" t="s">
        <v>33</v>
      </c>
      <c r="C7" t="s">
        <v>34</v>
      </c>
      <c r="D7" t="s">
        <v>19</v>
      </c>
      <c r="E7" s="2">
        <v>4.1666666666666664E-2</v>
      </c>
      <c r="F7" t="s">
        <v>20</v>
      </c>
      <c r="G7" t="s">
        <v>19</v>
      </c>
      <c r="H7" t="s">
        <v>24</v>
      </c>
    </row>
    <row r="8" spans="1:8">
      <c r="A8" t="s">
        <v>29</v>
      </c>
      <c r="B8" t="s">
        <v>30</v>
      </c>
      <c r="C8" t="s">
        <v>12</v>
      </c>
      <c r="D8" t="s">
        <v>19</v>
      </c>
      <c r="E8" s="2">
        <v>0.14583333333333334</v>
      </c>
      <c r="F8" t="s">
        <v>20</v>
      </c>
      <c r="G8" t="s">
        <v>31</v>
      </c>
      <c r="H8" t="s">
        <v>24</v>
      </c>
    </row>
    <row r="9" spans="1:8">
      <c r="A9" t="s">
        <v>35</v>
      </c>
      <c r="B9" t="s">
        <v>36</v>
      </c>
      <c r="C9" t="s">
        <v>37</v>
      </c>
      <c r="D9" t="s">
        <v>19</v>
      </c>
      <c r="E9" s="2">
        <v>0.83333333333333337</v>
      </c>
      <c r="F9" t="s">
        <v>38</v>
      </c>
      <c r="G9" t="s">
        <v>19</v>
      </c>
      <c r="H9" t="s">
        <v>39</v>
      </c>
    </row>
    <row r="10" spans="1:8">
      <c r="A10" t="s">
        <v>40</v>
      </c>
      <c r="B10" t="s">
        <v>41</v>
      </c>
      <c r="C10" t="s">
        <v>12</v>
      </c>
      <c r="E10" s="1">
        <v>0.39583333333333331</v>
      </c>
      <c r="F10" t="s">
        <v>42</v>
      </c>
      <c r="G10" t="s">
        <v>19</v>
      </c>
      <c r="H10" t="s">
        <v>24</v>
      </c>
    </row>
    <row r="11" spans="1:8">
      <c r="A11" t="s">
        <v>43</v>
      </c>
      <c r="B11" t="s">
        <v>44</v>
      </c>
      <c r="D11" t="s">
        <v>45</v>
      </c>
      <c r="E11" s="1">
        <v>0.16666666666666666</v>
      </c>
      <c r="F11" t="s">
        <v>42</v>
      </c>
      <c r="G11" t="s">
        <v>28</v>
      </c>
      <c r="H11" t="s">
        <v>39</v>
      </c>
    </row>
    <row r="12" spans="1:8">
      <c r="A12" t="s">
        <v>43</v>
      </c>
      <c r="B12" t="s">
        <v>44</v>
      </c>
      <c r="D12" t="s">
        <v>45</v>
      </c>
      <c r="E12" s="1">
        <v>0.16666666666666666</v>
      </c>
      <c r="F12" t="s">
        <v>42</v>
      </c>
      <c r="G12" t="s">
        <v>28</v>
      </c>
      <c r="H12" t="s">
        <v>39</v>
      </c>
    </row>
    <row r="13" spans="1:8">
      <c r="A13" t="s">
        <v>46</v>
      </c>
      <c r="B13" t="s">
        <v>47</v>
      </c>
      <c r="C13" t="s">
        <v>37</v>
      </c>
      <c r="D13" t="s">
        <v>45</v>
      </c>
      <c r="E13" s="2">
        <v>0.22916666666666666</v>
      </c>
      <c r="F13" t="s">
        <v>42</v>
      </c>
      <c r="G13" t="s">
        <v>31</v>
      </c>
      <c r="H13" t="s">
        <v>24</v>
      </c>
    </row>
    <row r="14" spans="1:8">
      <c r="A14" t="s">
        <v>40</v>
      </c>
      <c r="B14" t="s">
        <v>41</v>
      </c>
      <c r="C14" t="s">
        <v>12</v>
      </c>
      <c r="E14" s="1">
        <v>0.39583333333333331</v>
      </c>
      <c r="F14" t="s">
        <v>42</v>
      </c>
      <c r="G14" t="s">
        <v>19</v>
      </c>
      <c r="H14" t="s">
        <v>24</v>
      </c>
    </row>
    <row r="15" spans="1:8">
      <c r="A15" t="s">
        <v>48</v>
      </c>
      <c r="B15" t="s">
        <v>49</v>
      </c>
      <c r="C15" t="s">
        <v>34</v>
      </c>
      <c r="D15" t="s">
        <v>50</v>
      </c>
      <c r="E15" s="2">
        <v>0.75</v>
      </c>
      <c r="F15" t="s">
        <v>51</v>
      </c>
      <c r="G15" t="s">
        <v>52</v>
      </c>
      <c r="H15" t="s">
        <v>16</v>
      </c>
    </row>
    <row r="16" spans="1:8">
      <c r="A16" t="s">
        <v>53</v>
      </c>
      <c r="B16" t="s">
        <v>54</v>
      </c>
      <c r="C16" t="s">
        <v>55</v>
      </c>
      <c r="D16" t="s">
        <v>13</v>
      </c>
      <c r="E16" s="2">
        <v>0.41666666666666669</v>
      </c>
      <c r="F16" t="s">
        <v>56</v>
      </c>
      <c r="G16" t="s">
        <v>28</v>
      </c>
      <c r="H16" t="s">
        <v>16</v>
      </c>
    </row>
    <row r="17" spans="1:8">
      <c r="A17" t="s">
        <v>40</v>
      </c>
      <c r="B17" t="s">
        <v>57</v>
      </c>
      <c r="C17" t="s">
        <v>34</v>
      </c>
      <c r="D17" t="s">
        <v>13</v>
      </c>
      <c r="E17" s="1">
        <v>0.58333333333333337</v>
      </c>
      <c r="F17" t="s">
        <v>56</v>
      </c>
      <c r="H17" t="s">
        <v>16</v>
      </c>
    </row>
    <row r="18" spans="1:8">
      <c r="A18" t="s">
        <v>40</v>
      </c>
      <c r="B18" t="s">
        <v>57</v>
      </c>
      <c r="C18" t="s">
        <v>34</v>
      </c>
      <c r="D18" t="s">
        <v>13</v>
      </c>
      <c r="E18" s="1">
        <v>0.58333333333333337</v>
      </c>
      <c r="F18" t="s">
        <v>56</v>
      </c>
      <c r="H18" t="s">
        <v>16</v>
      </c>
    </row>
    <row r="19" spans="1:8">
      <c r="A19" t="s">
        <v>10</v>
      </c>
      <c r="B19" t="s">
        <v>58</v>
      </c>
      <c r="C19" t="s">
        <v>34</v>
      </c>
      <c r="D19" t="s">
        <v>45</v>
      </c>
      <c r="E19" s="1">
        <v>0.1875</v>
      </c>
      <c r="F19" t="s">
        <v>56</v>
      </c>
      <c r="H19" t="s">
        <v>24</v>
      </c>
    </row>
    <row r="20" spans="1:8">
      <c r="A20" t="s">
        <v>59</v>
      </c>
      <c r="B20" t="s">
        <v>60</v>
      </c>
      <c r="C20" t="s">
        <v>34</v>
      </c>
      <c r="D20" t="s">
        <v>19</v>
      </c>
      <c r="E20" s="2">
        <v>0.6875</v>
      </c>
      <c r="F20" t="s">
        <v>56</v>
      </c>
      <c r="G20" t="s">
        <v>19</v>
      </c>
      <c r="H20" t="s">
        <v>16</v>
      </c>
    </row>
    <row r="21" spans="1:8">
      <c r="A21" t="s">
        <v>61</v>
      </c>
      <c r="B21" t="s">
        <v>62</v>
      </c>
      <c r="C21" t="s">
        <v>37</v>
      </c>
      <c r="D21" t="s">
        <v>50</v>
      </c>
      <c r="E21" s="1">
        <v>0.91666666666666663</v>
      </c>
      <c r="F21" t="s">
        <v>63</v>
      </c>
      <c r="G21" t="s">
        <v>28</v>
      </c>
      <c r="H21" t="s">
        <v>24</v>
      </c>
    </row>
    <row r="22" spans="1:8">
      <c r="A22" t="s">
        <v>64</v>
      </c>
      <c r="B22" s="9" t="s">
        <v>65</v>
      </c>
      <c r="C22" t="s">
        <v>37</v>
      </c>
      <c r="E22" s="2">
        <v>0</v>
      </c>
      <c r="F22" t="s">
        <v>63</v>
      </c>
      <c r="G22" t="s">
        <v>28</v>
      </c>
      <c r="H22" t="s">
        <v>24</v>
      </c>
    </row>
    <row r="23" spans="1:8">
      <c r="A23" t="s">
        <v>61</v>
      </c>
      <c r="B23" t="s">
        <v>62</v>
      </c>
      <c r="C23" t="s">
        <v>37</v>
      </c>
      <c r="D23" t="s">
        <v>50</v>
      </c>
      <c r="E23" s="1">
        <v>0.91666666666666663</v>
      </c>
      <c r="F23" t="s">
        <v>63</v>
      </c>
      <c r="G23" t="s">
        <v>28</v>
      </c>
      <c r="H23" t="s">
        <v>24</v>
      </c>
    </row>
    <row r="24" spans="1:8">
      <c r="A24" t="s">
        <v>66</v>
      </c>
      <c r="B24" t="s">
        <v>67</v>
      </c>
      <c r="C24" t="s">
        <v>68</v>
      </c>
      <c r="D24" t="s">
        <v>19</v>
      </c>
      <c r="E24" s="1">
        <v>0.77083333333333337</v>
      </c>
      <c r="F24" t="s">
        <v>63</v>
      </c>
      <c r="G24" t="s">
        <v>31</v>
      </c>
      <c r="H24" t="s">
        <v>16</v>
      </c>
    </row>
    <row r="25" spans="1:8">
      <c r="A25" t="s">
        <v>69</v>
      </c>
      <c r="B25" t="s">
        <v>70</v>
      </c>
      <c r="C25" t="s">
        <v>27</v>
      </c>
      <c r="D25" t="s">
        <v>71</v>
      </c>
      <c r="E25" s="1">
        <v>0.5</v>
      </c>
      <c r="F25" t="s">
        <v>72</v>
      </c>
      <c r="G25" t="s">
        <v>15</v>
      </c>
      <c r="H25" t="s">
        <v>24</v>
      </c>
    </row>
    <row r="26" spans="1:8">
      <c r="A26" t="s">
        <v>73</v>
      </c>
      <c r="B26" t="s">
        <v>74</v>
      </c>
      <c r="C26" t="s">
        <v>55</v>
      </c>
      <c r="D26" t="s">
        <v>19</v>
      </c>
      <c r="E26" s="2">
        <v>0.75</v>
      </c>
      <c r="F26" t="s">
        <v>75</v>
      </c>
      <c r="G26" t="s">
        <v>19</v>
      </c>
      <c r="H26" t="s">
        <v>16</v>
      </c>
    </row>
    <row r="27" spans="1:8">
      <c r="A27" t="s">
        <v>76</v>
      </c>
      <c r="B27" t="s">
        <v>77</v>
      </c>
      <c r="C27" t="s">
        <v>78</v>
      </c>
      <c r="D27" t="s">
        <v>79</v>
      </c>
      <c r="E27" s="1">
        <v>0.29166666666666669</v>
      </c>
      <c r="F27" t="s">
        <v>80</v>
      </c>
      <c r="G27" t="s">
        <v>31</v>
      </c>
      <c r="H27" t="s">
        <v>16</v>
      </c>
    </row>
    <row r="28" spans="1:8">
      <c r="A28" t="s">
        <v>81</v>
      </c>
      <c r="B28" t="s">
        <v>82</v>
      </c>
      <c r="C28" t="s">
        <v>12</v>
      </c>
      <c r="E28" s="2">
        <v>0.54166666666666663</v>
      </c>
      <c r="F28" t="s">
        <v>80</v>
      </c>
      <c r="G28" t="s">
        <v>31</v>
      </c>
      <c r="H28" t="s">
        <v>16</v>
      </c>
    </row>
    <row r="29" spans="1:8">
      <c r="A29" t="s">
        <v>83</v>
      </c>
      <c r="B29" t="s">
        <v>84</v>
      </c>
      <c r="C29" t="s">
        <v>37</v>
      </c>
      <c r="D29" t="s">
        <v>50</v>
      </c>
      <c r="E29" s="1">
        <v>0.20833333333333334</v>
      </c>
      <c r="F29" t="s">
        <v>80</v>
      </c>
      <c r="H29" t="s">
        <v>24</v>
      </c>
    </row>
    <row r="30" spans="1:8">
      <c r="A30" t="s">
        <v>85</v>
      </c>
      <c r="B30" t="s">
        <v>86</v>
      </c>
      <c r="C30" t="s">
        <v>78</v>
      </c>
      <c r="E30" s="2">
        <v>0.60416666666666663</v>
      </c>
      <c r="F30" t="s">
        <v>87</v>
      </c>
      <c r="G30" t="s">
        <v>19</v>
      </c>
      <c r="H30" t="s">
        <v>16</v>
      </c>
    </row>
    <row r="31" spans="1:8">
      <c r="A31" t="s">
        <v>85</v>
      </c>
      <c r="B31" t="s">
        <v>86</v>
      </c>
      <c r="C31" t="s">
        <v>78</v>
      </c>
      <c r="E31" s="2">
        <v>0.60416666666666663</v>
      </c>
      <c r="F31" t="s">
        <v>87</v>
      </c>
      <c r="G31" t="s">
        <v>19</v>
      </c>
      <c r="H31" t="s">
        <v>16</v>
      </c>
    </row>
    <row r="32" spans="1:8">
      <c r="A32" t="s">
        <v>88</v>
      </c>
      <c r="B32" t="s">
        <v>89</v>
      </c>
      <c r="C32" t="s">
        <v>78</v>
      </c>
      <c r="D32" t="s">
        <v>45</v>
      </c>
      <c r="E32" s="2">
        <v>0.625</v>
      </c>
      <c r="F32" t="s">
        <v>90</v>
      </c>
      <c r="G32" t="s">
        <v>91</v>
      </c>
      <c r="H32" t="s">
        <v>24</v>
      </c>
    </row>
    <row r="33" spans="1:8">
      <c r="A33" t="s">
        <v>92</v>
      </c>
      <c r="B33" t="s">
        <v>93</v>
      </c>
      <c r="C33" t="s">
        <v>12</v>
      </c>
      <c r="D33" t="s">
        <v>19</v>
      </c>
      <c r="E33" s="1">
        <v>0.4375</v>
      </c>
      <c r="F33" t="s">
        <v>90</v>
      </c>
      <c r="G33" t="s">
        <v>31</v>
      </c>
      <c r="H33" t="s">
        <v>24</v>
      </c>
    </row>
    <row r="34" spans="1:8">
      <c r="A34" t="s">
        <v>94</v>
      </c>
      <c r="B34" t="s">
        <v>95</v>
      </c>
      <c r="C34" t="s">
        <v>96</v>
      </c>
      <c r="D34" t="s">
        <v>71</v>
      </c>
      <c r="E34" s="1">
        <v>0.64583333333333337</v>
      </c>
      <c r="F34" t="s">
        <v>97</v>
      </c>
      <c r="G34" t="s">
        <v>19</v>
      </c>
      <c r="H34" t="s">
        <v>16</v>
      </c>
    </row>
    <row r="35" spans="1:8">
      <c r="A35" t="s">
        <v>94</v>
      </c>
      <c r="B35" t="s">
        <v>95</v>
      </c>
      <c r="C35" t="s">
        <v>96</v>
      </c>
      <c r="D35" t="s">
        <v>71</v>
      </c>
      <c r="E35" s="1">
        <v>0.64583333333333337</v>
      </c>
      <c r="F35" t="s">
        <v>97</v>
      </c>
      <c r="G35" t="s">
        <v>19</v>
      </c>
      <c r="H35" t="s">
        <v>16</v>
      </c>
    </row>
    <row r="36" spans="1:8">
      <c r="A36" t="s">
        <v>69</v>
      </c>
      <c r="B36" t="s">
        <v>98</v>
      </c>
      <c r="C36" t="s">
        <v>37</v>
      </c>
      <c r="D36" t="s">
        <v>45</v>
      </c>
      <c r="E36" s="1">
        <v>0.375</v>
      </c>
      <c r="F36" t="s">
        <v>97</v>
      </c>
      <c r="G36" t="s">
        <v>19</v>
      </c>
      <c r="H36" t="s">
        <v>24</v>
      </c>
    </row>
    <row r="37" spans="1:8">
      <c r="A37" t="s">
        <v>69</v>
      </c>
      <c r="B37" t="s">
        <v>98</v>
      </c>
      <c r="C37" t="s">
        <v>37</v>
      </c>
      <c r="D37" t="s">
        <v>45</v>
      </c>
      <c r="E37" s="1">
        <v>0.375</v>
      </c>
      <c r="F37" t="s">
        <v>97</v>
      </c>
      <c r="G37" t="s">
        <v>19</v>
      </c>
      <c r="H37" t="s">
        <v>24</v>
      </c>
    </row>
    <row r="38" spans="1:8">
      <c r="A38" t="s">
        <v>99</v>
      </c>
      <c r="B38" t="s">
        <v>100</v>
      </c>
      <c r="C38" t="s">
        <v>101</v>
      </c>
      <c r="D38" t="s">
        <v>45</v>
      </c>
      <c r="E38" s="2">
        <v>0.35416666666666669</v>
      </c>
      <c r="F38" t="s">
        <v>102</v>
      </c>
      <c r="H38" t="s">
        <v>16</v>
      </c>
    </row>
    <row r="39" spans="1:8">
      <c r="A39" t="s">
        <v>99</v>
      </c>
      <c r="B39" t="s">
        <v>100</v>
      </c>
      <c r="C39" t="s">
        <v>101</v>
      </c>
      <c r="D39" t="s">
        <v>45</v>
      </c>
      <c r="E39" s="2">
        <v>0.35416666666666669</v>
      </c>
      <c r="F39" t="s">
        <v>102</v>
      </c>
      <c r="H39" t="s">
        <v>16</v>
      </c>
    </row>
    <row r="40" spans="1:8">
      <c r="A40" t="s">
        <v>17</v>
      </c>
      <c r="B40" t="s">
        <v>103</v>
      </c>
      <c r="C40" t="s">
        <v>55</v>
      </c>
      <c r="D40" t="s">
        <v>50</v>
      </c>
      <c r="E40" s="2">
        <v>0.125</v>
      </c>
      <c r="F40" t="s">
        <v>104</v>
      </c>
      <c r="G40" t="s">
        <v>52</v>
      </c>
      <c r="H40" t="s">
        <v>24</v>
      </c>
    </row>
    <row r="41" spans="1:8">
      <c r="A41" t="s">
        <v>105</v>
      </c>
      <c r="B41" t="s">
        <v>106</v>
      </c>
      <c r="C41" t="s">
        <v>55</v>
      </c>
      <c r="D41" t="s">
        <v>45</v>
      </c>
      <c r="E41" s="2">
        <v>0.60416666666666663</v>
      </c>
      <c r="F41" t="s">
        <v>107</v>
      </c>
      <c r="G41" t="s">
        <v>31</v>
      </c>
      <c r="H41" t="s">
        <v>39</v>
      </c>
    </row>
    <row r="42" spans="1:8">
      <c r="A42" t="s">
        <v>108</v>
      </c>
      <c r="B42" t="s">
        <v>109</v>
      </c>
      <c r="C42" t="s">
        <v>27</v>
      </c>
      <c r="D42" t="s">
        <v>50</v>
      </c>
      <c r="E42" s="1">
        <v>0.375</v>
      </c>
      <c r="F42" t="s">
        <v>107</v>
      </c>
      <c r="G42" t="s">
        <v>19</v>
      </c>
      <c r="H42" t="s">
        <v>39</v>
      </c>
    </row>
    <row r="43" spans="1:8">
      <c r="A43" t="s">
        <v>110</v>
      </c>
      <c r="B43" t="s">
        <v>111</v>
      </c>
      <c r="C43" t="s">
        <v>112</v>
      </c>
      <c r="D43" t="s">
        <v>71</v>
      </c>
      <c r="E43" s="1">
        <v>0.29166666666666669</v>
      </c>
      <c r="F43" t="s">
        <v>113</v>
      </c>
      <c r="G43" t="s">
        <v>91</v>
      </c>
      <c r="H43" t="s">
        <v>39</v>
      </c>
    </row>
    <row r="44" spans="1:8">
      <c r="A44" t="s">
        <v>114</v>
      </c>
      <c r="B44" t="s">
        <v>115</v>
      </c>
      <c r="D44" t="s">
        <v>13</v>
      </c>
      <c r="E44" s="2">
        <v>0.45833333333333331</v>
      </c>
      <c r="F44" t="s">
        <v>113</v>
      </c>
      <c r="G44" t="s">
        <v>91</v>
      </c>
      <c r="H44" t="s">
        <v>24</v>
      </c>
    </row>
    <row r="45" spans="1:8">
      <c r="A45" t="s">
        <v>61</v>
      </c>
      <c r="B45" t="s">
        <v>116</v>
      </c>
      <c r="C45" t="s">
        <v>55</v>
      </c>
      <c r="D45" t="s">
        <v>19</v>
      </c>
      <c r="E45" s="1">
        <v>0.83333333333333337</v>
      </c>
      <c r="F45" t="s">
        <v>113</v>
      </c>
      <c r="G45" t="s">
        <v>19</v>
      </c>
      <c r="H45" t="s">
        <v>39</v>
      </c>
    </row>
    <row r="46" spans="1:8">
      <c r="A46" t="s">
        <v>117</v>
      </c>
      <c r="B46" t="s">
        <v>118</v>
      </c>
      <c r="C46" t="s">
        <v>34</v>
      </c>
      <c r="D46" t="s">
        <v>71</v>
      </c>
      <c r="E46" s="1">
        <v>0.27083333333333331</v>
      </c>
      <c r="F46" t="s">
        <v>113</v>
      </c>
      <c r="H46" t="s">
        <v>24</v>
      </c>
    </row>
    <row r="47" spans="1:8">
      <c r="A47" t="s">
        <v>119</v>
      </c>
      <c r="B47" t="s">
        <v>120</v>
      </c>
      <c r="C47" t="s">
        <v>12</v>
      </c>
      <c r="D47" t="s">
        <v>50</v>
      </c>
      <c r="E47" s="2">
        <v>8.3333333333333329E-2</v>
      </c>
      <c r="F47" t="s">
        <v>113</v>
      </c>
      <c r="H47" t="s">
        <v>24</v>
      </c>
    </row>
    <row r="48" spans="1:8">
      <c r="A48" t="s">
        <v>121</v>
      </c>
      <c r="B48" t="s">
        <v>122</v>
      </c>
      <c r="D48" t="s">
        <v>50</v>
      </c>
      <c r="E48" s="2">
        <v>0.75</v>
      </c>
      <c r="F48" t="s">
        <v>113</v>
      </c>
      <c r="H48" t="s">
        <v>39</v>
      </c>
    </row>
    <row r="49" spans="1:8">
      <c r="A49" t="s">
        <v>94</v>
      </c>
      <c r="B49" t="s">
        <v>123</v>
      </c>
      <c r="C49" t="s">
        <v>78</v>
      </c>
      <c r="D49" t="s">
        <v>50</v>
      </c>
      <c r="E49" s="1">
        <v>0.52083333333333337</v>
      </c>
      <c r="F49" t="s">
        <v>124</v>
      </c>
      <c r="G49" t="s">
        <v>28</v>
      </c>
      <c r="H49" t="s">
        <v>39</v>
      </c>
    </row>
    <row r="50" spans="1:8">
      <c r="A50" t="s">
        <v>35</v>
      </c>
      <c r="B50" t="s">
        <v>125</v>
      </c>
      <c r="C50" t="s">
        <v>78</v>
      </c>
      <c r="D50" t="s">
        <v>71</v>
      </c>
      <c r="E50" s="1">
        <v>0.22916666666666666</v>
      </c>
      <c r="F50" t="s">
        <v>124</v>
      </c>
      <c r="G50" t="s">
        <v>15</v>
      </c>
      <c r="H50" t="s">
        <v>24</v>
      </c>
    </row>
    <row r="51" spans="1:8">
      <c r="A51" t="s">
        <v>81</v>
      </c>
      <c r="B51" t="s">
        <v>126</v>
      </c>
      <c r="C51" t="s">
        <v>37</v>
      </c>
      <c r="D51" t="s">
        <v>13</v>
      </c>
      <c r="E51" s="1">
        <v>0.625</v>
      </c>
      <c r="F51" t="s">
        <v>124</v>
      </c>
      <c r="G51" t="s">
        <v>91</v>
      </c>
      <c r="H51" t="s">
        <v>39</v>
      </c>
    </row>
    <row r="52" spans="1:8">
      <c r="A52" t="s">
        <v>127</v>
      </c>
      <c r="B52" t="s">
        <v>128</v>
      </c>
      <c r="D52" t="s">
        <v>71</v>
      </c>
      <c r="E52" s="2">
        <v>0.10416666666666667</v>
      </c>
      <c r="F52" t="s">
        <v>124</v>
      </c>
      <c r="G52" t="s">
        <v>52</v>
      </c>
      <c r="H52" t="s">
        <v>39</v>
      </c>
    </row>
    <row r="53" spans="1:8">
      <c r="A53" t="s">
        <v>108</v>
      </c>
      <c r="B53" t="s">
        <v>129</v>
      </c>
      <c r="C53" t="s">
        <v>96</v>
      </c>
      <c r="E53" s="1">
        <v>0.41666666666666669</v>
      </c>
      <c r="F53" t="s">
        <v>130</v>
      </c>
      <c r="G53" t="s">
        <v>28</v>
      </c>
      <c r="H53" t="s">
        <v>21</v>
      </c>
    </row>
    <row r="54" spans="1:8">
      <c r="A54" t="s">
        <v>43</v>
      </c>
      <c r="B54" t="s">
        <v>131</v>
      </c>
      <c r="C54" t="s">
        <v>37</v>
      </c>
      <c r="D54" t="s">
        <v>79</v>
      </c>
      <c r="E54" s="2">
        <v>0.79166666666666663</v>
      </c>
      <c r="F54" t="s">
        <v>130</v>
      </c>
      <c r="G54" t="s">
        <v>19</v>
      </c>
      <c r="H54" t="s">
        <v>39</v>
      </c>
    </row>
    <row r="55" spans="1:8">
      <c r="A55" t="s">
        <v>66</v>
      </c>
      <c r="B55" t="s">
        <v>132</v>
      </c>
      <c r="C55" t="s">
        <v>19</v>
      </c>
      <c r="E55" s="2">
        <v>0.64583333333333337</v>
      </c>
      <c r="F55" t="s">
        <v>130</v>
      </c>
      <c r="H55" t="s">
        <v>39</v>
      </c>
    </row>
    <row r="56" spans="1:8">
      <c r="A56" t="s">
        <v>133</v>
      </c>
      <c r="B56" t="s">
        <v>134</v>
      </c>
      <c r="C56" t="s">
        <v>96</v>
      </c>
      <c r="D56" t="s">
        <v>13</v>
      </c>
      <c r="E56" s="1">
        <v>0.10416666666666667</v>
      </c>
      <c r="F56" t="s">
        <v>130</v>
      </c>
      <c r="G56" t="s">
        <v>31</v>
      </c>
      <c r="H56" t="s">
        <v>39</v>
      </c>
    </row>
    <row r="57" spans="1:8">
      <c r="A57" t="s">
        <v>135</v>
      </c>
      <c r="B57" t="s">
        <v>136</v>
      </c>
      <c r="C57" t="s">
        <v>19</v>
      </c>
      <c r="D57" t="s">
        <v>71</v>
      </c>
      <c r="E57" s="2">
        <v>0.14583333333333334</v>
      </c>
      <c r="F57" t="s">
        <v>137</v>
      </c>
      <c r="G57" t="s">
        <v>52</v>
      </c>
      <c r="H57" t="s">
        <v>39</v>
      </c>
    </row>
    <row r="58" spans="1:8">
      <c r="A58" t="s">
        <v>138</v>
      </c>
      <c r="B58" t="s">
        <v>139</v>
      </c>
      <c r="C58" t="s">
        <v>112</v>
      </c>
      <c r="D58" t="s">
        <v>50</v>
      </c>
      <c r="E58" s="2">
        <v>0.95833333333333337</v>
      </c>
      <c r="F58" t="s">
        <v>137</v>
      </c>
      <c r="G58" t="s">
        <v>91</v>
      </c>
      <c r="H58" t="s">
        <v>24</v>
      </c>
    </row>
    <row r="59" spans="1:8">
      <c r="A59" t="s">
        <v>140</v>
      </c>
      <c r="B59" t="s">
        <v>141</v>
      </c>
      <c r="C59" t="s">
        <v>78</v>
      </c>
      <c r="D59" t="s">
        <v>79</v>
      </c>
      <c r="E59" s="2">
        <v>0.41666666666666669</v>
      </c>
      <c r="F59" t="s">
        <v>137</v>
      </c>
      <c r="H59" t="s">
        <v>24</v>
      </c>
    </row>
    <row r="60" spans="1:8">
      <c r="A60" t="s">
        <v>40</v>
      </c>
      <c r="B60" t="s">
        <v>142</v>
      </c>
      <c r="C60" t="s">
        <v>68</v>
      </c>
      <c r="E60" s="2">
        <v>0.375</v>
      </c>
      <c r="F60" t="s">
        <v>143</v>
      </c>
      <c r="G60" t="s">
        <v>28</v>
      </c>
      <c r="H60" t="s">
        <v>24</v>
      </c>
    </row>
    <row r="61" spans="1:8">
      <c r="A61" t="s">
        <v>40</v>
      </c>
      <c r="B61" t="s">
        <v>142</v>
      </c>
      <c r="C61" t="s">
        <v>68</v>
      </c>
      <c r="E61" s="2">
        <v>0.375</v>
      </c>
      <c r="F61" t="s">
        <v>143</v>
      </c>
      <c r="G61" t="s">
        <v>28</v>
      </c>
      <c r="H61" t="s">
        <v>24</v>
      </c>
    </row>
    <row r="62" spans="1:8">
      <c r="A62" t="s">
        <v>46</v>
      </c>
      <c r="B62" t="s">
        <v>144</v>
      </c>
      <c r="C62" t="s">
        <v>68</v>
      </c>
      <c r="D62" t="s">
        <v>71</v>
      </c>
      <c r="E62" s="2">
        <v>0</v>
      </c>
      <c r="F62" t="s">
        <v>145</v>
      </c>
      <c r="G62" t="s">
        <v>15</v>
      </c>
      <c r="H62" t="s">
        <v>39</v>
      </c>
    </row>
    <row r="63" spans="1:8">
      <c r="A63" t="s">
        <v>99</v>
      </c>
      <c r="B63" t="s">
        <v>146</v>
      </c>
      <c r="C63" t="s">
        <v>101</v>
      </c>
      <c r="D63" t="s">
        <v>79</v>
      </c>
      <c r="E63" s="1">
        <v>0.60416666666666663</v>
      </c>
      <c r="F63" t="s">
        <v>145</v>
      </c>
      <c r="G63" t="s">
        <v>52</v>
      </c>
      <c r="H63" t="s">
        <v>39</v>
      </c>
    </row>
    <row r="64" spans="1:8">
      <c r="A64" t="s">
        <v>99</v>
      </c>
      <c r="B64" t="s">
        <v>146</v>
      </c>
      <c r="C64" t="s">
        <v>101</v>
      </c>
      <c r="D64" t="s">
        <v>79</v>
      </c>
      <c r="E64" s="1">
        <v>0.60416666666666663</v>
      </c>
      <c r="F64" t="s">
        <v>145</v>
      </c>
      <c r="G64" t="s">
        <v>52</v>
      </c>
      <c r="H64" t="s">
        <v>39</v>
      </c>
    </row>
    <row r="65" spans="1:8">
      <c r="A65" t="s">
        <v>46</v>
      </c>
      <c r="B65" t="s">
        <v>144</v>
      </c>
      <c r="C65" t="s">
        <v>68</v>
      </c>
      <c r="D65" t="s">
        <v>71</v>
      </c>
      <c r="E65" s="2">
        <v>0</v>
      </c>
      <c r="F65" t="s">
        <v>145</v>
      </c>
      <c r="G65" t="s">
        <v>15</v>
      </c>
      <c r="H65" t="s">
        <v>39</v>
      </c>
    </row>
    <row r="66" spans="1:8">
      <c r="A66" t="s">
        <v>147</v>
      </c>
      <c r="B66" t="s">
        <v>148</v>
      </c>
      <c r="C66" t="s">
        <v>19</v>
      </c>
      <c r="E66" s="2">
        <v>0.58333333333333337</v>
      </c>
      <c r="F66" t="s">
        <v>149</v>
      </c>
      <c r="G66" t="s">
        <v>15</v>
      </c>
      <c r="H66" t="s">
        <v>24</v>
      </c>
    </row>
    <row r="67" spans="1:8">
      <c r="A67" t="s">
        <v>69</v>
      </c>
      <c r="B67" t="s">
        <v>150</v>
      </c>
      <c r="C67" t="s">
        <v>78</v>
      </c>
      <c r="E67" s="1">
        <v>0.625</v>
      </c>
      <c r="F67" t="s">
        <v>149</v>
      </c>
      <c r="G67" t="s">
        <v>52</v>
      </c>
      <c r="H67" t="s">
        <v>24</v>
      </c>
    </row>
    <row r="68" spans="1:8">
      <c r="A68" t="s">
        <v>147</v>
      </c>
      <c r="B68" t="s">
        <v>148</v>
      </c>
      <c r="C68" t="s">
        <v>19</v>
      </c>
      <c r="E68" s="2">
        <v>0.58333333333333337</v>
      </c>
      <c r="F68" t="s">
        <v>149</v>
      </c>
      <c r="G68" t="s">
        <v>15</v>
      </c>
      <c r="H68" t="s">
        <v>24</v>
      </c>
    </row>
    <row r="69" spans="1:8">
      <c r="A69" t="s">
        <v>151</v>
      </c>
      <c r="B69" t="s">
        <v>152</v>
      </c>
      <c r="C69" t="s">
        <v>68</v>
      </c>
      <c r="D69" t="s">
        <v>19</v>
      </c>
      <c r="E69" s="2">
        <v>0.29166666666666669</v>
      </c>
      <c r="F69" t="s">
        <v>153</v>
      </c>
      <c r="G69" t="s">
        <v>15</v>
      </c>
      <c r="H69" t="s">
        <v>24</v>
      </c>
    </row>
    <row r="70" spans="1:8">
      <c r="A70" t="s">
        <v>147</v>
      </c>
      <c r="B70" t="s">
        <v>154</v>
      </c>
      <c r="C70" t="s">
        <v>37</v>
      </c>
      <c r="D70" t="s">
        <v>71</v>
      </c>
      <c r="E70" s="1">
        <v>0.16666666666666666</v>
      </c>
      <c r="F70" t="s">
        <v>153</v>
      </c>
      <c r="G70" t="s">
        <v>91</v>
      </c>
      <c r="H70" t="s">
        <v>39</v>
      </c>
    </row>
    <row r="71" spans="1:8">
      <c r="A71" t="s">
        <v>155</v>
      </c>
      <c r="B71" t="s">
        <v>156</v>
      </c>
      <c r="C71" t="s">
        <v>96</v>
      </c>
      <c r="D71" t="s">
        <v>79</v>
      </c>
      <c r="E71" s="2">
        <v>0.75</v>
      </c>
      <c r="F71" t="s">
        <v>153</v>
      </c>
      <c r="H71" t="s">
        <v>39</v>
      </c>
    </row>
    <row r="72" spans="1:8">
      <c r="A72" t="s">
        <v>105</v>
      </c>
      <c r="B72" t="s">
        <v>157</v>
      </c>
      <c r="C72" t="s">
        <v>37</v>
      </c>
      <c r="D72" t="s">
        <v>45</v>
      </c>
      <c r="E72" s="1">
        <v>0.22916666666666666</v>
      </c>
      <c r="F72" t="s">
        <v>158</v>
      </c>
      <c r="H72" t="s">
        <v>24</v>
      </c>
    </row>
    <row r="73" spans="1:8">
      <c r="A73" t="s">
        <v>105</v>
      </c>
      <c r="B73" t="s">
        <v>157</v>
      </c>
      <c r="C73" t="s">
        <v>37</v>
      </c>
      <c r="D73" t="s">
        <v>45</v>
      </c>
      <c r="E73" s="1">
        <v>0.22916666666666666</v>
      </c>
      <c r="F73" t="s">
        <v>158</v>
      </c>
      <c r="H73" t="s">
        <v>24</v>
      </c>
    </row>
    <row r="74" spans="1:8">
      <c r="A74" t="s">
        <v>159</v>
      </c>
      <c r="B74" t="s">
        <v>160</v>
      </c>
      <c r="C74" t="s">
        <v>27</v>
      </c>
      <c r="D74" t="s">
        <v>50</v>
      </c>
      <c r="E74" s="1">
        <v>8.3333333333333329E-2</v>
      </c>
      <c r="F74" t="s">
        <v>161</v>
      </c>
      <c r="G74" t="s">
        <v>19</v>
      </c>
      <c r="H74" t="s">
        <v>24</v>
      </c>
    </row>
    <row r="75" spans="1:8">
      <c r="A75" t="s">
        <v>162</v>
      </c>
      <c r="B75" t="s">
        <v>163</v>
      </c>
      <c r="C75" t="s">
        <v>37</v>
      </c>
      <c r="D75" t="s">
        <v>19</v>
      </c>
      <c r="E75" s="2">
        <v>0.8125</v>
      </c>
      <c r="F75" t="s">
        <v>161</v>
      </c>
      <c r="H75" t="s">
        <v>39</v>
      </c>
    </row>
    <row r="76" spans="1:8">
      <c r="A76" t="s">
        <v>164</v>
      </c>
      <c r="B76" t="s">
        <v>165</v>
      </c>
      <c r="C76" t="s">
        <v>34</v>
      </c>
      <c r="D76" t="s">
        <v>13</v>
      </c>
      <c r="E76" s="1">
        <v>0.16666666666666666</v>
      </c>
      <c r="F76" t="s">
        <v>166</v>
      </c>
      <c r="G76" t="s">
        <v>15</v>
      </c>
      <c r="H76" t="s">
        <v>24</v>
      </c>
    </row>
    <row r="77" spans="1:8">
      <c r="A77" t="s">
        <v>162</v>
      </c>
      <c r="B77" t="s">
        <v>167</v>
      </c>
      <c r="C77" t="s">
        <v>34</v>
      </c>
      <c r="E77" s="2">
        <v>0.54166666666666663</v>
      </c>
      <c r="F77" t="s">
        <v>166</v>
      </c>
      <c r="G77" t="s">
        <v>19</v>
      </c>
      <c r="H77" t="s">
        <v>39</v>
      </c>
    </row>
    <row r="78" spans="1:8">
      <c r="A78" t="s">
        <v>168</v>
      </c>
      <c r="B78" t="s">
        <v>169</v>
      </c>
      <c r="C78" t="s">
        <v>96</v>
      </c>
      <c r="D78" t="s">
        <v>19</v>
      </c>
      <c r="E78" s="1">
        <v>0.14583333333333334</v>
      </c>
      <c r="F78" t="s">
        <v>166</v>
      </c>
      <c r="H78" t="s">
        <v>24</v>
      </c>
    </row>
    <row r="79" spans="1:8">
      <c r="A79" t="s">
        <v>164</v>
      </c>
      <c r="B79" t="s">
        <v>165</v>
      </c>
      <c r="C79" t="s">
        <v>34</v>
      </c>
      <c r="D79" t="s">
        <v>13</v>
      </c>
      <c r="E79" s="1">
        <v>0.16666666666666666</v>
      </c>
      <c r="F79" t="s">
        <v>166</v>
      </c>
      <c r="G79" t="s">
        <v>15</v>
      </c>
      <c r="H79" t="s">
        <v>24</v>
      </c>
    </row>
    <row r="80" spans="1:8">
      <c r="A80" t="s">
        <v>170</v>
      </c>
      <c r="B80" t="s">
        <v>171</v>
      </c>
      <c r="C80" t="s">
        <v>68</v>
      </c>
      <c r="D80" t="s">
        <v>71</v>
      </c>
      <c r="E80" s="1">
        <v>0.97916666666666663</v>
      </c>
      <c r="F80" t="s">
        <v>172</v>
      </c>
      <c r="G80" t="s">
        <v>91</v>
      </c>
      <c r="H80" t="s">
        <v>39</v>
      </c>
    </row>
    <row r="81" spans="1:8">
      <c r="A81" t="s">
        <v>173</v>
      </c>
      <c r="B81" t="s">
        <v>174</v>
      </c>
      <c r="C81" t="s">
        <v>78</v>
      </c>
      <c r="D81" t="s">
        <v>19</v>
      </c>
      <c r="E81" s="1">
        <v>0.9375</v>
      </c>
      <c r="F81" t="s">
        <v>172</v>
      </c>
      <c r="G81" t="s">
        <v>91</v>
      </c>
      <c r="H81" t="s">
        <v>39</v>
      </c>
    </row>
    <row r="82" spans="1:8">
      <c r="A82" t="s">
        <v>105</v>
      </c>
      <c r="B82" t="s">
        <v>175</v>
      </c>
      <c r="C82" t="s">
        <v>55</v>
      </c>
      <c r="D82" t="s">
        <v>71</v>
      </c>
      <c r="E82" s="2">
        <v>0.54166666666666663</v>
      </c>
      <c r="F82" t="s">
        <v>176</v>
      </c>
      <c r="G82" t="s">
        <v>91</v>
      </c>
      <c r="H82" t="s">
        <v>24</v>
      </c>
    </row>
    <row r="83" spans="1:8">
      <c r="A83" t="s">
        <v>105</v>
      </c>
      <c r="B83" t="s">
        <v>175</v>
      </c>
      <c r="C83" t="s">
        <v>55</v>
      </c>
      <c r="D83" t="s">
        <v>71</v>
      </c>
      <c r="E83" s="2">
        <v>0.54166666666666663</v>
      </c>
      <c r="F83" t="s">
        <v>176</v>
      </c>
      <c r="G83" t="s">
        <v>91</v>
      </c>
      <c r="H83" t="s">
        <v>24</v>
      </c>
    </row>
    <row r="84" spans="1:8">
      <c r="A84" t="s">
        <v>177</v>
      </c>
      <c r="B84" t="s">
        <v>178</v>
      </c>
      <c r="C84" t="s">
        <v>37</v>
      </c>
      <c r="E84" s="1">
        <v>0.35416666666666669</v>
      </c>
      <c r="F84" t="s">
        <v>176</v>
      </c>
      <c r="G84" t="s">
        <v>19</v>
      </c>
      <c r="H84" t="s">
        <v>39</v>
      </c>
    </row>
    <row r="85" spans="1:8">
      <c r="A85" t="s">
        <v>105</v>
      </c>
      <c r="B85" t="s">
        <v>179</v>
      </c>
      <c r="C85" t="s">
        <v>12</v>
      </c>
      <c r="D85" t="s">
        <v>50</v>
      </c>
      <c r="E85" s="1">
        <v>0.41666666666666669</v>
      </c>
      <c r="F85" t="s">
        <v>176</v>
      </c>
      <c r="H85" t="s">
        <v>39</v>
      </c>
    </row>
    <row r="86" spans="1:8">
      <c r="A86" t="s">
        <v>180</v>
      </c>
      <c r="B86" t="s">
        <v>181</v>
      </c>
      <c r="C86" t="s">
        <v>12</v>
      </c>
      <c r="D86" t="s">
        <v>19</v>
      </c>
      <c r="E86" s="2">
        <v>0.83333333333333337</v>
      </c>
      <c r="F86" t="s">
        <v>182</v>
      </c>
      <c r="G86" t="s">
        <v>91</v>
      </c>
      <c r="H86" t="s">
        <v>24</v>
      </c>
    </row>
    <row r="87" spans="1:8">
      <c r="A87" t="s">
        <v>183</v>
      </c>
      <c r="B87" t="s">
        <v>184</v>
      </c>
      <c r="C87" t="s">
        <v>19</v>
      </c>
      <c r="D87" t="s">
        <v>71</v>
      </c>
      <c r="E87" s="2">
        <v>0.125</v>
      </c>
      <c r="F87" t="s">
        <v>185</v>
      </c>
      <c r="G87" t="s">
        <v>91</v>
      </c>
      <c r="H87" t="s">
        <v>39</v>
      </c>
    </row>
    <row r="88" spans="1:8">
      <c r="A88" t="s">
        <v>40</v>
      </c>
      <c r="B88" t="s">
        <v>186</v>
      </c>
      <c r="C88" t="s">
        <v>55</v>
      </c>
      <c r="D88" t="s">
        <v>50</v>
      </c>
      <c r="E88" s="1">
        <v>0.3125</v>
      </c>
      <c r="F88" t="s">
        <v>185</v>
      </c>
      <c r="G88" t="s">
        <v>15</v>
      </c>
      <c r="H88" t="s">
        <v>24</v>
      </c>
    </row>
    <row r="89" spans="1:8">
      <c r="A89" t="s">
        <v>61</v>
      </c>
      <c r="B89" t="s">
        <v>187</v>
      </c>
      <c r="C89" t="s">
        <v>19</v>
      </c>
      <c r="E89" s="2">
        <v>0.16666666666666666</v>
      </c>
      <c r="F89" t="s">
        <v>185</v>
      </c>
      <c r="G89" t="s">
        <v>52</v>
      </c>
      <c r="H89" t="s">
        <v>39</v>
      </c>
    </row>
    <row r="90" spans="1:8">
      <c r="A90" t="s">
        <v>188</v>
      </c>
      <c r="B90" t="s">
        <v>189</v>
      </c>
      <c r="C90" t="s">
        <v>68</v>
      </c>
      <c r="D90" t="s">
        <v>71</v>
      </c>
      <c r="E90" s="1">
        <v>4.1666666666666664E-2</v>
      </c>
      <c r="F90" t="s">
        <v>185</v>
      </c>
      <c r="G90" t="s">
        <v>19</v>
      </c>
      <c r="H90" t="s">
        <v>39</v>
      </c>
    </row>
    <row r="91" spans="1:8">
      <c r="A91" t="s">
        <v>190</v>
      </c>
      <c r="B91" t="s">
        <v>191</v>
      </c>
      <c r="C91" t="s">
        <v>27</v>
      </c>
      <c r="D91" t="s">
        <v>19</v>
      </c>
      <c r="E91" s="1">
        <v>0.4375</v>
      </c>
      <c r="F91" t="s">
        <v>185</v>
      </c>
      <c r="G91" t="s">
        <v>31</v>
      </c>
      <c r="H91" t="s">
        <v>39</v>
      </c>
    </row>
    <row r="92" spans="1:8">
      <c r="A92" t="s">
        <v>183</v>
      </c>
      <c r="B92" t="s">
        <v>184</v>
      </c>
      <c r="C92" t="s">
        <v>19</v>
      </c>
      <c r="D92" t="s">
        <v>71</v>
      </c>
      <c r="E92" s="2">
        <v>0.125</v>
      </c>
      <c r="F92" t="s">
        <v>185</v>
      </c>
      <c r="G92" t="s">
        <v>91</v>
      </c>
      <c r="H92" t="s">
        <v>39</v>
      </c>
    </row>
    <row r="93" spans="1:8">
      <c r="A93" t="s">
        <v>61</v>
      </c>
      <c r="B93" t="s">
        <v>187</v>
      </c>
      <c r="C93" t="s">
        <v>19</v>
      </c>
      <c r="E93" s="2">
        <v>0.16666666666666666</v>
      </c>
      <c r="F93" t="s">
        <v>185</v>
      </c>
      <c r="G93" t="s">
        <v>52</v>
      </c>
      <c r="H93" t="s">
        <v>39</v>
      </c>
    </row>
    <row r="94" spans="1:8">
      <c r="A94" t="s">
        <v>121</v>
      </c>
      <c r="B94" t="s">
        <v>192</v>
      </c>
      <c r="C94" t="s">
        <v>55</v>
      </c>
      <c r="E94" s="1">
        <v>0</v>
      </c>
      <c r="F94" t="s">
        <v>193</v>
      </c>
      <c r="G94" t="s">
        <v>28</v>
      </c>
      <c r="H94" t="s">
        <v>24</v>
      </c>
    </row>
    <row r="95" spans="1:8">
      <c r="A95" t="s">
        <v>88</v>
      </c>
      <c r="B95" t="s">
        <v>194</v>
      </c>
      <c r="D95" t="s">
        <v>19</v>
      </c>
      <c r="E95" s="2">
        <v>0.95833333333333337</v>
      </c>
      <c r="F95" t="s">
        <v>193</v>
      </c>
      <c r="G95" t="s">
        <v>91</v>
      </c>
      <c r="H95" t="s">
        <v>39</v>
      </c>
    </row>
    <row r="96" spans="1:8">
      <c r="A96" t="s">
        <v>133</v>
      </c>
      <c r="B96" t="s">
        <v>195</v>
      </c>
      <c r="C96" t="s">
        <v>12</v>
      </c>
      <c r="D96" t="s">
        <v>50</v>
      </c>
      <c r="E96" s="2">
        <v>0.70833333333333337</v>
      </c>
      <c r="F96" t="s">
        <v>196</v>
      </c>
      <c r="H96" t="s">
        <v>39</v>
      </c>
    </row>
    <row r="97" spans="1:8">
      <c r="A97" t="s">
        <v>197</v>
      </c>
      <c r="B97" t="s">
        <v>198</v>
      </c>
      <c r="D97" t="s">
        <v>71</v>
      </c>
      <c r="E97" s="1">
        <v>0.75</v>
      </c>
      <c r="F97" t="s">
        <v>196</v>
      </c>
      <c r="G97" t="s">
        <v>52</v>
      </c>
      <c r="H97" t="s">
        <v>24</v>
      </c>
    </row>
    <row r="98" spans="1:8">
      <c r="A98" t="s">
        <v>94</v>
      </c>
      <c r="B98" t="s">
        <v>199</v>
      </c>
      <c r="C98" t="s">
        <v>101</v>
      </c>
      <c r="D98" t="s">
        <v>45</v>
      </c>
      <c r="E98" s="2">
        <v>0.5</v>
      </c>
      <c r="F98" t="s">
        <v>196</v>
      </c>
      <c r="G98" t="s">
        <v>28</v>
      </c>
      <c r="H98" t="s">
        <v>39</v>
      </c>
    </row>
    <row r="99" spans="1:8">
      <c r="A99" t="s">
        <v>164</v>
      </c>
      <c r="B99" t="s">
        <v>200</v>
      </c>
      <c r="C99" t="s">
        <v>68</v>
      </c>
      <c r="E99" s="2">
        <v>0.41666666666666669</v>
      </c>
      <c r="F99" t="s">
        <v>201</v>
      </c>
      <c r="H99" t="s">
        <v>24</v>
      </c>
    </row>
    <row r="100" spans="1:8">
      <c r="A100" t="s">
        <v>164</v>
      </c>
      <c r="B100" t="s">
        <v>200</v>
      </c>
      <c r="C100" t="s">
        <v>68</v>
      </c>
      <c r="E100" s="2">
        <v>0.41666666666666669</v>
      </c>
      <c r="F100" t="s">
        <v>201</v>
      </c>
      <c r="H100" t="s">
        <v>24</v>
      </c>
    </row>
    <row r="101" spans="1:8">
      <c r="A101" t="s">
        <v>202</v>
      </c>
      <c r="B101" t="s">
        <v>203</v>
      </c>
      <c r="C101" t="s">
        <v>27</v>
      </c>
      <c r="D101" t="s">
        <v>79</v>
      </c>
      <c r="E101" s="2">
        <v>0.54166666666666663</v>
      </c>
      <c r="F101" t="s">
        <v>204</v>
      </c>
      <c r="G101" t="s">
        <v>15</v>
      </c>
      <c r="H101" t="s">
        <v>39</v>
      </c>
    </row>
    <row r="102" spans="1:8">
      <c r="A102" t="s">
        <v>205</v>
      </c>
      <c r="B102" t="s">
        <v>206</v>
      </c>
      <c r="D102" t="s">
        <v>79</v>
      </c>
      <c r="E102" s="1">
        <v>0.72916666666666663</v>
      </c>
      <c r="F102" t="s">
        <v>204</v>
      </c>
      <c r="G102" t="s">
        <v>31</v>
      </c>
      <c r="H102" t="s">
        <v>21</v>
      </c>
    </row>
    <row r="103" spans="1:8">
      <c r="A103" t="s">
        <v>207</v>
      </c>
      <c r="B103" t="s">
        <v>208</v>
      </c>
      <c r="D103" t="s">
        <v>13</v>
      </c>
      <c r="E103" s="1">
        <v>0.83333333333333337</v>
      </c>
      <c r="F103" t="s">
        <v>209</v>
      </c>
      <c r="G103" t="s">
        <v>91</v>
      </c>
      <c r="H103" t="s">
        <v>39</v>
      </c>
    </row>
    <row r="104" spans="1:8">
      <c r="A104" t="s">
        <v>135</v>
      </c>
      <c r="B104" t="s">
        <v>210</v>
      </c>
      <c r="C104" t="s">
        <v>112</v>
      </c>
      <c r="D104" t="s">
        <v>13</v>
      </c>
      <c r="E104" s="1">
        <v>0.79166666666666663</v>
      </c>
      <c r="F104" t="s">
        <v>209</v>
      </c>
      <c r="G104" t="s">
        <v>91</v>
      </c>
      <c r="H104" t="s">
        <v>39</v>
      </c>
    </row>
    <row r="105" spans="1:8">
      <c r="A105" t="s">
        <v>211</v>
      </c>
      <c r="B105" t="s">
        <v>212</v>
      </c>
      <c r="C105" t="s">
        <v>68</v>
      </c>
      <c r="D105" t="s">
        <v>19</v>
      </c>
      <c r="E105" s="1">
        <v>0.72916666666666663</v>
      </c>
      <c r="F105" t="s">
        <v>209</v>
      </c>
      <c r="H105" t="s">
        <v>39</v>
      </c>
    </row>
    <row r="106" spans="1:8">
      <c r="A106" t="s">
        <v>53</v>
      </c>
      <c r="B106" t="s">
        <v>213</v>
      </c>
      <c r="D106" t="s">
        <v>71</v>
      </c>
      <c r="E106" s="1">
        <v>0.5</v>
      </c>
      <c r="F106" t="s">
        <v>209</v>
      </c>
      <c r="G106" t="s">
        <v>52</v>
      </c>
      <c r="H106" t="s">
        <v>39</v>
      </c>
    </row>
    <row r="107" spans="1:8">
      <c r="A107" t="s">
        <v>214</v>
      </c>
      <c r="B107" t="s">
        <v>215</v>
      </c>
      <c r="C107" t="s">
        <v>68</v>
      </c>
      <c r="D107" t="s">
        <v>13</v>
      </c>
      <c r="E107" s="2">
        <v>0.89583333333333337</v>
      </c>
      <c r="F107" t="s">
        <v>216</v>
      </c>
      <c r="G107" t="s">
        <v>52</v>
      </c>
      <c r="H107" t="s">
        <v>39</v>
      </c>
    </row>
    <row r="108" spans="1:8">
      <c r="A108" t="s">
        <v>114</v>
      </c>
      <c r="B108" t="s">
        <v>217</v>
      </c>
      <c r="C108" t="s">
        <v>78</v>
      </c>
      <c r="D108" t="s">
        <v>13</v>
      </c>
      <c r="E108" s="2">
        <v>0.22916666666666666</v>
      </c>
      <c r="F108" t="s">
        <v>218</v>
      </c>
      <c r="G108" t="s">
        <v>19</v>
      </c>
      <c r="H108" t="s">
        <v>39</v>
      </c>
    </row>
    <row r="109" spans="1:8">
      <c r="A109" t="s">
        <v>121</v>
      </c>
      <c r="B109" t="s">
        <v>219</v>
      </c>
      <c r="C109" t="s">
        <v>55</v>
      </c>
      <c r="D109" t="s">
        <v>13</v>
      </c>
      <c r="E109" s="2">
        <v>0.54166666666666663</v>
      </c>
      <c r="F109" t="s">
        <v>218</v>
      </c>
      <c r="G109" t="s">
        <v>31</v>
      </c>
      <c r="H109" t="s">
        <v>39</v>
      </c>
    </row>
    <row r="110" spans="1:8">
      <c r="A110" t="s">
        <v>85</v>
      </c>
      <c r="B110" t="s">
        <v>220</v>
      </c>
      <c r="C110" t="s">
        <v>19</v>
      </c>
      <c r="D110" t="s">
        <v>19</v>
      </c>
      <c r="E110" s="2">
        <v>0.29166666666666669</v>
      </c>
      <c r="F110" t="s">
        <v>221</v>
      </c>
      <c r="G110" t="s">
        <v>19</v>
      </c>
      <c r="H110" t="s">
        <v>39</v>
      </c>
    </row>
    <row r="111" spans="1:8">
      <c r="A111" t="s">
        <v>173</v>
      </c>
      <c r="B111" t="s">
        <v>222</v>
      </c>
      <c r="C111" t="s">
        <v>34</v>
      </c>
      <c r="D111" t="s">
        <v>79</v>
      </c>
      <c r="E111" s="1">
        <v>0.41666666666666669</v>
      </c>
      <c r="F111" t="s">
        <v>221</v>
      </c>
      <c r="G111" t="s">
        <v>15</v>
      </c>
      <c r="H111" t="s">
        <v>39</v>
      </c>
    </row>
    <row r="112" spans="1:8">
      <c r="A112" t="s">
        <v>223</v>
      </c>
      <c r="B112" t="s">
        <v>224</v>
      </c>
      <c r="D112" t="s">
        <v>79</v>
      </c>
      <c r="E112" s="1">
        <v>0.6875</v>
      </c>
      <c r="F112" t="s">
        <v>221</v>
      </c>
      <c r="G112" t="s">
        <v>19</v>
      </c>
      <c r="H112" t="s">
        <v>39</v>
      </c>
    </row>
    <row r="113" spans="1:8">
      <c r="A113" t="s">
        <v>61</v>
      </c>
      <c r="B113" t="s">
        <v>225</v>
      </c>
      <c r="C113" t="s">
        <v>78</v>
      </c>
      <c r="D113" t="s">
        <v>19</v>
      </c>
      <c r="E113" s="1">
        <v>0.83333333333333337</v>
      </c>
      <c r="F113" t="s">
        <v>226</v>
      </c>
      <c r="G113" t="s">
        <v>19</v>
      </c>
      <c r="H113" t="s">
        <v>39</v>
      </c>
    </row>
    <row r="114" spans="1:8">
      <c r="A114" t="s">
        <v>61</v>
      </c>
      <c r="B114" t="s">
        <v>225</v>
      </c>
      <c r="C114" t="s">
        <v>78</v>
      </c>
      <c r="D114" t="s">
        <v>19</v>
      </c>
      <c r="E114" s="1">
        <v>0.83333333333333337</v>
      </c>
      <c r="F114" t="s">
        <v>226</v>
      </c>
      <c r="G114" t="s">
        <v>19</v>
      </c>
      <c r="H114" t="s">
        <v>39</v>
      </c>
    </row>
    <row r="115" spans="1:8">
      <c r="A115" t="s">
        <v>92</v>
      </c>
      <c r="B115" t="s">
        <v>227</v>
      </c>
      <c r="C115" t="s">
        <v>34</v>
      </c>
      <c r="E115" s="2">
        <v>0</v>
      </c>
      <c r="F115" t="s">
        <v>226</v>
      </c>
      <c r="G115" t="s">
        <v>91</v>
      </c>
      <c r="H115" t="s">
        <v>39</v>
      </c>
    </row>
    <row r="116" spans="1:8">
      <c r="A116" t="s">
        <v>22</v>
      </c>
      <c r="B116" t="s">
        <v>228</v>
      </c>
      <c r="C116" t="s">
        <v>78</v>
      </c>
      <c r="D116" t="s">
        <v>45</v>
      </c>
      <c r="E116" s="2">
        <v>0.39583333333333331</v>
      </c>
      <c r="F116" t="s">
        <v>226</v>
      </c>
      <c r="G116" t="s">
        <v>31</v>
      </c>
      <c r="H116" t="s">
        <v>39</v>
      </c>
    </row>
    <row r="117" spans="1:8">
      <c r="A117" t="s">
        <v>229</v>
      </c>
      <c r="B117" t="s">
        <v>230</v>
      </c>
      <c r="D117" t="s">
        <v>71</v>
      </c>
      <c r="E117" s="1">
        <v>0.375</v>
      </c>
      <c r="F117" t="s">
        <v>231</v>
      </c>
      <c r="G117" t="s">
        <v>28</v>
      </c>
      <c r="H117" t="s">
        <v>39</v>
      </c>
    </row>
    <row r="118" spans="1:8">
      <c r="A118" t="s">
        <v>127</v>
      </c>
      <c r="B118" t="s">
        <v>232</v>
      </c>
      <c r="C118" t="s">
        <v>37</v>
      </c>
      <c r="D118" t="s">
        <v>13</v>
      </c>
      <c r="E118" s="2">
        <v>8.3333333333333329E-2</v>
      </c>
      <c r="F118" t="s">
        <v>231</v>
      </c>
      <c r="G118" t="s">
        <v>52</v>
      </c>
      <c r="H118" t="s">
        <v>39</v>
      </c>
    </row>
    <row r="119" spans="1:8">
      <c r="A119" t="s">
        <v>76</v>
      </c>
      <c r="B119" t="s">
        <v>233</v>
      </c>
      <c r="C119" t="s">
        <v>112</v>
      </c>
      <c r="D119" t="s">
        <v>13</v>
      </c>
      <c r="E119" s="1">
        <v>2.0833333333333332E-2</v>
      </c>
      <c r="F119" t="s">
        <v>231</v>
      </c>
      <c r="G119" t="s">
        <v>91</v>
      </c>
      <c r="H119" t="s">
        <v>39</v>
      </c>
    </row>
    <row r="120" spans="1:8">
      <c r="A120" t="s">
        <v>234</v>
      </c>
      <c r="B120" t="s">
        <v>235</v>
      </c>
      <c r="C120" t="s">
        <v>96</v>
      </c>
      <c r="D120" t="s">
        <v>71</v>
      </c>
      <c r="E120" s="2">
        <v>0.89583333333333337</v>
      </c>
      <c r="F120" t="s">
        <v>236</v>
      </c>
      <c r="H120" t="s">
        <v>39</v>
      </c>
    </row>
    <row r="121" spans="1:8">
      <c r="A121" t="s">
        <v>237</v>
      </c>
      <c r="B121" t="s">
        <v>238</v>
      </c>
      <c r="C121" t="s">
        <v>19</v>
      </c>
      <c r="D121" t="s">
        <v>45</v>
      </c>
      <c r="E121" s="2">
        <v>0.75</v>
      </c>
      <c r="F121" t="s">
        <v>236</v>
      </c>
      <c r="G121" t="s">
        <v>31</v>
      </c>
      <c r="H121" t="s">
        <v>39</v>
      </c>
    </row>
    <row r="122" spans="1:8">
      <c r="A122" t="s">
        <v>234</v>
      </c>
      <c r="B122" t="s">
        <v>235</v>
      </c>
      <c r="C122" t="s">
        <v>96</v>
      </c>
      <c r="D122" t="s">
        <v>71</v>
      </c>
      <c r="E122" s="2">
        <v>0.89583333333333337</v>
      </c>
      <c r="F122" t="s">
        <v>236</v>
      </c>
      <c r="H122" t="s">
        <v>39</v>
      </c>
    </row>
    <row r="123" spans="1:8">
      <c r="A123" t="s">
        <v>239</v>
      </c>
      <c r="B123" t="s">
        <v>240</v>
      </c>
      <c r="C123" t="s">
        <v>27</v>
      </c>
      <c r="E123" s="1">
        <v>0.95833333333333337</v>
      </c>
      <c r="F123" t="s">
        <v>241</v>
      </c>
      <c r="G123" t="s">
        <v>28</v>
      </c>
      <c r="H123" t="s">
        <v>39</v>
      </c>
    </row>
    <row r="124" spans="1:8">
      <c r="A124" t="s">
        <v>239</v>
      </c>
      <c r="B124" t="s">
        <v>240</v>
      </c>
      <c r="C124" t="s">
        <v>27</v>
      </c>
      <c r="E124" s="1">
        <v>0.95833333333333337</v>
      </c>
      <c r="F124" t="s">
        <v>241</v>
      </c>
      <c r="G124" t="s">
        <v>28</v>
      </c>
      <c r="H124" t="s">
        <v>39</v>
      </c>
    </row>
    <row r="125" spans="1:8">
      <c r="A125" t="s">
        <v>242</v>
      </c>
      <c r="B125" t="s">
        <v>243</v>
      </c>
      <c r="C125" t="s">
        <v>19</v>
      </c>
      <c r="E125" s="1">
        <v>0.16666666666666666</v>
      </c>
      <c r="F125" t="s">
        <v>241</v>
      </c>
      <c r="G125" t="s">
        <v>31</v>
      </c>
      <c r="H125" t="s">
        <v>39</v>
      </c>
    </row>
    <row r="126" spans="1:8">
      <c r="A126" t="s">
        <v>133</v>
      </c>
      <c r="B126" t="s">
        <v>244</v>
      </c>
      <c r="C126" t="s">
        <v>37</v>
      </c>
      <c r="D126" t="s">
        <v>79</v>
      </c>
      <c r="E126" s="1">
        <v>0.5</v>
      </c>
      <c r="F126" t="s">
        <v>241</v>
      </c>
      <c r="H126" t="s">
        <v>39</v>
      </c>
    </row>
    <row r="127" spans="1:8">
      <c r="A127" t="s">
        <v>177</v>
      </c>
      <c r="B127" t="s">
        <v>245</v>
      </c>
      <c r="C127" t="s">
        <v>112</v>
      </c>
      <c r="D127" t="s">
        <v>50</v>
      </c>
      <c r="E127" s="2">
        <v>0.77083333333333337</v>
      </c>
      <c r="F127" t="s">
        <v>241</v>
      </c>
      <c r="G127" t="s">
        <v>28</v>
      </c>
      <c r="H127" t="s">
        <v>39</v>
      </c>
    </row>
    <row r="128" spans="1:8">
      <c r="A128" t="s">
        <v>133</v>
      </c>
      <c r="B128" t="s">
        <v>244</v>
      </c>
      <c r="C128" t="s">
        <v>37</v>
      </c>
      <c r="D128" t="s">
        <v>79</v>
      </c>
      <c r="E128" s="1">
        <v>0.5</v>
      </c>
      <c r="F128" t="s">
        <v>241</v>
      </c>
      <c r="H128" t="s">
        <v>39</v>
      </c>
    </row>
    <row r="129" spans="1:8">
      <c r="A129" t="s">
        <v>10</v>
      </c>
      <c r="B129" t="s">
        <v>246</v>
      </c>
      <c r="C129" t="s">
        <v>96</v>
      </c>
      <c r="D129" t="s">
        <v>13</v>
      </c>
      <c r="E129" s="2">
        <v>0.54166666666666663</v>
      </c>
      <c r="F129" t="s">
        <v>247</v>
      </c>
      <c r="G129" t="s">
        <v>91</v>
      </c>
      <c r="H129" t="s">
        <v>39</v>
      </c>
    </row>
    <row r="130" spans="1:8">
      <c r="A130" t="s">
        <v>170</v>
      </c>
      <c r="B130" t="s">
        <v>248</v>
      </c>
      <c r="C130" t="s">
        <v>68</v>
      </c>
      <c r="D130" t="s">
        <v>13</v>
      </c>
      <c r="E130" s="2">
        <v>0.3125</v>
      </c>
      <c r="F130" t="s">
        <v>247</v>
      </c>
      <c r="G130" t="s">
        <v>28</v>
      </c>
      <c r="H130" t="s">
        <v>39</v>
      </c>
    </row>
    <row r="131" spans="1:8">
      <c r="A131" t="s">
        <v>61</v>
      </c>
      <c r="B131" t="s">
        <v>249</v>
      </c>
      <c r="C131" t="s">
        <v>27</v>
      </c>
      <c r="E131" s="2">
        <v>0.83333333333333337</v>
      </c>
      <c r="F131" t="s">
        <v>247</v>
      </c>
      <c r="G131" t="s">
        <v>91</v>
      </c>
      <c r="H131" t="s">
        <v>39</v>
      </c>
    </row>
    <row r="132" spans="1:8">
      <c r="A132" t="s">
        <v>250</v>
      </c>
      <c r="B132" t="s">
        <v>251</v>
      </c>
      <c r="C132" t="s">
        <v>78</v>
      </c>
      <c r="D132" t="s">
        <v>79</v>
      </c>
      <c r="E132" s="2">
        <v>0.95833333333333337</v>
      </c>
      <c r="F132" t="s">
        <v>252</v>
      </c>
      <c r="G132" t="s">
        <v>91</v>
      </c>
      <c r="H132" t="s">
        <v>39</v>
      </c>
    </row>
    <row r="133" spans="1:8">
      <c r="A133" t="s">
        <v>17</v>
      </c>
      <c r="B133" t="s">
        <v>253</v>
      </c>
      <c r="C133" t="s">
        <v>37</v>
      </c>
      <c r="D133" t="s">
        <v>45</v>
      </c>
      <c r="E133" s="1">
        <v>0.89583333333333337</v>
      </c>
      <c r="F133" t="s">
        <v>252</v>
      </c>
      <c r="G133" t="s">
        <v>15</v>
      </c>
      <c r="H133" t="s">
        <v>39</v>
      </c>
    </row>
    <row r="134" spans="1:8">
      <c r="A134" t="s">
        <v>53</v>
      </c>
      <c r="B134" t="s">
        <v>254</v>
      </c>
      <c r="C134" t="s">
        <v>112</v>
      </c>
      <c r="E134" s="2">
        <v>0.33333333333333331</v>
      </c>
      <c r="F134" t="s">
        <v>252</v>
      </c>
      <c r="G134" t="s">
        <v>91</v>
      </c>
      <c r="H134" t="s">
        <v>39</v>
      </c>
    </row>
    <row r="135" spans="1:8">
      <c r="A135" t="s">
        <v>255</v>
      </c>
      <c r="B135" t="s">
        <v>256</v>
      </c>
      <c r="C135" t="s">
        <v>34</v>
      </c>
      <c r="D135" t="s">
        <v>50</v>
      </c>
      <c r="E135" s="2">
        <v>0.58333333333333337</v>
      </c>
      <c r="F135" t="s">
        <v>252</v>
      </c>
      <c r="G135" t="s">
        <v>28</v>
      </c>
      <c r="H135" t="s">
        <v>39</v>
      </c>
    </row>
    <row r="136" spans="1:8">
      <c r="A136" t="s">
        <v>257</v>
      </c>
      <c r="B136" t="s">
        <v>258</v>
      </c>
      <c r="C136" t="s">
        <v>112</v>
      </c>
      <c r="D136" t="s">
        <v>50</v>
      </c>
      <c r="E136" s="2">
        <v>0.77083333333333337</v>
      </c>
      <c r="F136" t="s">
        <v>259</v>
      </c>
      <c r="G136" t="s">
        <v>19</v>
      </c>
      <c r="H136" t="s">
        <v>39</v>
      </c>
    </row>
    <row r="137" spans="1:8">
      <c r="A137" t="s">
        <v>257</v>
      </c>
      <c r="B137" t="s">
        <v>258</v>
      </c>
      <c r="C137" t="s">
        <v>112</v>
      </c>
      <c r="D137" t="s">
        <v>50</v>
      </c>
      <c r="E137" s="2">
        <v>0.77083333333333337</v>
      </c>
      <c r="F137" t="s">
        <v>259</v>
      </c>
      <c r="G137" t="s">
        <v>19</v>
      </c>
      <c r="H137" t="s">
        <v>39</v>
      </c>
    </row>
    <row r="138" spans="1:8">
      <c r="A138" t="s">
        <v>66</v>
      </c>
      <c r="B138" t="s">
        <v>260</v>
      </c>
      <c r="C138" t="s">
        <v>34</v>
      </c>
      <c r="D138" t="s">
        <v>79</v>
      </c>
      <c r="E138" s="1">
        <v>0.35416666666666669</v>
      </c>
      <c r="F138" t="s">
        <v>259</v>
      </c>
      <c r="G138" t="s">
        <v>19</v>
      </c>
      <c r="H138" t="s">
        <v>39</v>
      </c>
    </row>
    <row r="139" spans="1:8">
      <c r="A139" t="s">
        <v>66</v>
      </c>
      <c r="B139" t="s">
        <v>260</v>
      </c>
      <c r="C139" t="s">
        <v>34</v>
      </c>
      <c r="D139" t="s">
        <v>79</v>
      </c>
      <c r="E139" s="1">
        <v>0.35416666666666669</v>
      </c>
      <c r="F139" t="s">
        <v>259</v>
      </c>
      <c r="G139" t="s">
        <v>19</v>
      </c>
      <c r="H139" t="s">
        <v>39</v>
      </c>
    </row>
    <row r="140" spans="1:8">
      <c r="A140" t="s">
        <v>140</v>
      </c>
      <c r="B140" t="s">
        <v>261</v>
      </c>
      <c r="C140" t="s">
        <v>68</v>
      </c>
      <c r="D140" t="s">
        <v>50</v>
      </c>
      <c r="E140" s="2">
        <v>0.29166666666666669</v>
      </c>
      <c r="F140" t="s">
        <v>262</v>
      </c>
      <c r="G140" t="s">
        <v>52</v>
      </c>
      <c r="H140" t="s">
        <v>39</v>
      </c>
    </row>
    <row r="141" spans="1:8">
      <c r="A141" t="s">
        <v>177</v>
      </c>
      <c r="B141" t="s">
        <v>263</v>
      </c>
      <c r="C141" t="s">
        <v>27</v>
      </c>
      <c r="E141" s="2">
        <v>0.16666666666666666</v>
      </c>
      <c r="F141" t="s">
        <v>262</v>
      </c>
      <c r="G141" t="s">
        <v>19</v>
      </c>
      <c r="H141" t="s">
        <v>39</v>
      </c>
    </row>
    <row r="142" spans="1:8">
      <c r="A142" t="s">
        <v>108</v>
      </c>
      <c r="B142" t="s">
        <v>264</v>
      </c>
      <c r="C142" t="s">
        <v>34</v>
      </c>
      <c r="D142" t="s">
        <v>45</v>
      </c>
      <c r="E142" s="1">
        <v>0.375</v>
      </c>
      <c r="F142" t="s">
        <v>262</v>
      </c>
      <c r="H142" t="s">
        <v>39</v>
      </c>
    </row>
    <row r="143" spans="1:8">
      <c r="A143" t="s">
        <v>265</v>
      </c>
      <c r="B143" t="s">
        <v>266</v>
      </c>
      <c r="C143" t="s">
        <v>78</v>
      </c>
      <c r="D143" t="s">
        <v>13</v>
      </c>
      <c r="E143" s="1">
        <v>0.9375</v>
      </c>
      <c r="F143" t="s">
        <v>262</v>
      </c>
      <c r="G143" t="s">
        <v>19</v>
      </c>
      <c r="H143" t="s">
        <v>39</v>
      </c>
    </row>
    <row r="144" spans="1:8">
      <c r="A144" t="s">
        <v>25</v>
      </c>
      <c r="B144" t="s">
        <v>267</v>
      </c>
      <c r="C144" t="s">
        <v>101</v>
      </c>
      <c r="D144" t="s">
        <v>71</v>
      </c>
      <c r="E144" s="2">
        <v>0.5625</v>
      </c>
      <c r="F144" t="s">
        <v>268</v>
      </c>
      <c r="G144" t="s">
        <v>91</v>
      </c>
      <c r="H144" t="s">
        <v>39</v>
      </c>
    </row>
    <row r="145" spans="1:8">
      <c r="A145" t="s">
        <v>269</v>
      </c>
      <c r="B145" t="s">
        <v>270</v>
      </c>
      <c r="C145" t="s">
        <v>112</v>
      </c>
      <c r="D145" t="s">
        <v>13</v>
      </c>
      <c r="E145" s="2">
        <v>0.25</v>
      </c>
      <c r="F145" t="s">
        <v>268</v>
      </c>
      <c r="G145" t="s">
        <v>52</v>
      </c>
      <c r="H145" t="s">
        <v>39</v>
      </c>
    </row>
    <row r="146" spans="1:8">
      <c r="A146" t="s">
        <v>269</v>
      </c>
      <c r="B146" t="s">
        <v>270</v>
      </c>
      <c r="C146" t="s">
        <v>112</v>
      </c>
      <c r="D146" t="s">
        <v>13</v>
      </c>
      <c r="E146" s="2">
        <v>0.25</v>
      </c>
      <c r="F146" t="s">
        <v>268</v>
      </c>
      <c r="G146" t="s">
        <v>52</v>
      </c>
      <c r="H146" t="s">
        <v>39</v>
      </c>
    </row>
    <row r="147" spans="1:8">
      <c r="A147" t="s">
        <v>61</v>
      </c>
      <c r="B147" t="s">
        <v>271</v>
      </c>
      <c r="C147" t="s">
        <v>96</v>
      </c>
      <c r="D147" t="s">
        <v>71</v>
      </c>
      <c r="E147" s="1">
        <v>0.625</v>
      </c>
      <c r="F147" t="s">
        <v>268</v>
      </c>
      <c r="G147" t="s">
        <v>19</v>
      </c>
      <c r="H147" t="s">
        <v>39</v>
      </c>
    </row>
    <row r="148" spans="1:8">
      <c r="A148" t="s">
        <v>168</v>
      </c>
      <c r="B148" t="s">
        <v>272</v>
      </c>
      <c r="C148" t="s">
        <v>27</v>
      </c>
      <c r="E148" s="2">
        <v>0.22916666666666666</v>
      </c>
      <c r="F148" t="s">
        <v>268</v>
      </c>
      <c r="G148" t="s">
        <v>52</v>
      </c>
      <c r="H148" t="s">
        <v>39</v>
      </c>
    </row>
    <row r="149" spans="1:8">
      <c r="A149" t="s">
        <v>110</v>
      </c>
      <c r="B149" t="s">
        <v>273</v>
      </c>
      <c r="C149" t="s">
        <v>96</v>
      </c>
      <c r="D149" t="s">
        <v>79</v>
      </c>
      <c r="E149" s="2">
        <v>0.27083333333333331</v>
      </c>
      <c r="F149" t="s">
        <v>268</v>
      </c>
      <c r="G149" t="s">
        <v>52</v>
      </c>
      <c r="H149" t="s">
        <v>39</v>
      </c>
    </row>
    <row r="150" spans="1:8">
      <c r="A150" t="s">
        <v>274</v>
      </c>
      <c r="B150" t="s">
        <v>275</v>
      </c>
      <c r="C150" t="s">
        <v>12</v>
      </c>
      <c r="E150" s="2">
        <v>0.25</v>
      </c>
      <c r="F150" t="s">
        <v>268</v>
      </c>
      <c r="G150" t="s">
        <v>52</v>
      </c>
      <c r="H150" t="s">
        <v>39</v>
      </c>
    </row>
    <row r="151" spans="1:8">
      <c r="A151" t="s">
        <v>188</v>
      </c>
      <c r="B151" t="s">
        <v>276</v>
      </c>
      <c r="C151" t="s">
        <v>101</v>
      </c>
      <c r="D151" t="s">
        <v>19</v>
      </c>
      <c r="E151" s="2">
        <v>0.16666666666666666</v>
      </c>
      <c r="F151" t="s">
        <v>277</v>
      </c>
      <c r="G151" t="s">
        <v>28</v>
      </c>
      <c r="H151" t="s">
        <v>39</v>
      </c>
    </row>
    <row r="152" spans="1:8">
      <c r="A152" t="s">
        <v>35</v>
      </c>
      <c r="B152" t="s">
        <v>278</v>
      </c>
      <c r="C152" t="s">
        <v>55</v>
      </c>
      <c r="D152" t="s">
        <v>71</v>
      </c>
      <c r="E152" s="1">
        <v>0.79166666666666663</v>
      </c>
      <c r="F152" t="s">
        <v>277</v>
      </c>
      <c r="G152" t="s">
        <v>91</v>
      </c>
      <c r="H152" t="s">
        <v>39</v>
      </c>
    </row>
    <row r="153" spans="1:8">
      <c r="A153" t="s">
        <v>138</v>
      </c>
      <c r="B153" t="s">
        <v>279</v>
      </c>
      <c r="C153" t="s">
        <v>34</v>
      </c>
      <c r="D153" t="s">
        <v>79</v>
      </c>
      <c r="E153" s="1">
        <v>0.6875</v>
      </c>
      <c r="F153" t="s">
        <v>280</v>
      </c>
      <c r="G153" t="s">
        <v>31</v>
      </c>
      <c r="H153" t="s">
        <v>39</v>
      </c>
    </row>
    <row r="154" spans="1:8">
      <c r="A154" t="s">
        <v>211</v>
      </c>
      <c r="B154" t="s">
        <v>281</v>
      </c>
      <c r="C154" t="s">
        <v>68</v>
      </c>
      <c r="D154" t="s">
        <v>19</v>
      </c>
      <c r="E154" s="1">
        <v>0.8125</v>
      </c>
      <c r="F154" t="s">
        <v>280</v>
      </c>
      <c r="G154" t="s">
        <v>91</v>
      </c>
      <c r="H154" t="s">
        <v>21</v>
      </c>
    </row>
    <row r="155" spans="1:8">
      <c r="A155" t="s">
        <v>59</v>
      </c>
      <c r="B155" t="s">
        <v>282</v>
      </c>
      <c r="C155" t="s">
        <v>34</v>
      </c>
      <c r="D155" t="s">
        <v>19</v>
      </c>
      <c r="E155" s="1">
        <v>0.52083333333333337</v>
      </c>
      <c r="F155" t="s">
        <v>280</v>
      </c>
      <c r="G155" t="s">
        <v>28</v>
      </c>
      <c r="H155" t="s">
        <v>39</v>
      </c>
    </row>
    <row r="156" spans="1:8">
      <c r="A156" t="s">
        <v>180</v>
      </c>
      <c r="B156" t="s">
        <v>283</v>
      </c>
      <c r="C156" t="s">
        <v>112</v>
      </c>
      <c r="D156" t="s">
        <v>45</v>
      </c>
      <c r="E156" s="1">
        <v>8.3333333333333329E-2</v>
      </c>
      <c r="F156" t="s">
        <v>284</v>
      </c>
      <c r="G156" t="s">
        <v>28</v>
      </c>
      <c r="H156" t="s">
        <v>39</v>
      </c>
    </row>
    <row r="157" spans="1:8">
      <c r="A157" t="s">
        <v>239</v>
      </c>
      <c r="B157" t="s">
        <v>285</v>
      </c>
      <c r="C157" t="s">
        <v>55</v>
      </c>
      <c r="D157" t="s">
        <v>13</v>
      </c>
      <c r="E157" s="2">
        <v>0.95833333333333337</v>
      </c>
      <c r="F157" t="s">
        <v>284</v>
      </c>
      <c r="G157" t="s">
        <v>15</v>
      </c>
      <c r="H157" t="s">
        <v>39</v>
      </c>
    </row>
    <row r="158" spans="1:8">
      <c r="A158" t="s">
        <v>265</v>
      </c>
      <c r="B158" t="s">
        <v>286</v>
      </c>
      <c r="C158" t="s">
        <v>55</v>
      </c>
      <c r="D158" t="s">
        <v>19</v>
      </c>
      <c r="E158" s="1">
        <v>0.97916666666666663</v>
      </c>
      <c r="F158" t="s">
        <v>287</v>
      </c>
      <c r="G158" t="s">
        <v>28</v>
      </c>
      <c r="H158" t="s">
        <v>39</v>
      </c>
    </row>
    <row r="159" spans="1:8">
      <c r="A159" t="s">
        <v>288</v>
      </c>
      <c r="B159" t="s">
        <v>289</v>
      </c>
      <c r="C159" t="s">
        <v>37</v>
      </c>
      <c r="D159" t="s">
        <v>45</v>
      </c>
      <c r="E159" s="1">
        <v>0.875</v>
      </c>
      <c r="F159" t="s">
        <v>287</v>
      </c>
      <c r="G159" t="s">
        <v>31</v>
      </c>
      <c r="H159" t="s">
        <v>39</v>
      </c>
    </row>
    <row r="160" spans="1:8">
      <c r="A160" t="s">
        <v>127</v>
      </c>
      <c r="B160" t="s">
        <v>290</v>
      </c>
      <c r="C160" t="s">
        <v>37</v>
      </c>
      <c r="E160" s="1">
        <v>0.3125</v>
      </c>
      <c r="F160" t="s">
        <v>287</v>
      </c>
      <c r="G160" t="s">
        <v>28</v>
      </c>
      <c r="H160" t="s">
        <v>39</v>
      </c>
    </row>
    <row r="161" spans="1:8">
      <c r="A161" t="s">
        <v>127</v>
      </c>
      <c r="B161" t="s">
        <v>291</v>
      </c>
      <c r="D161" t="s">
        <v>13</v>
      </c>
      <c r="E161" s="2">
        <v>0.41666666666666669</v>
      </c>
      <c r="F161" t="s">
        <v>292</v>
      </c>
      <c r="G161" t="s">
        <v>31</v>
      </c>
      <c r="H161" t="s">
        <v>39</v>
      </c>
    </row>
    <row r="162" spans="1:8">
      <c r="A162" t="s">
        <v>81</v>
      </c>
      <c r="B162" t="s">
        <v>293</v>
      </c>
      <c r="C162" t="s">
        <v>19</v>
      </c>
      <c r="D162" t="s">
        <v>13</v>
      </c>
      <c r="E162" s="2">
        <v>0.1875</v>
      </c>
      <c r="F162" t="s">
        <v>294</v>
      </c>
      <c r="G162" t="s">
        <v>19</v>
      </c>
      <c r="H162" t="s">
        <v>39</v>
      </c>
    </row>
    <row r="163" spans="1:8">
      <c r="A163" t="s">
        <v>121</v>
      </c>
      <c r="B163" t="s">
        <v>295</v>
      </c>
      <c r="C163" t="s">
        <v>19</v>
      </c>
      <c r="D163" t="s">
        <v>19</v>
      </c>
      <c r="E163" s="2">
        <v>0.54166666666666663</v>
      </c>
      <c r="F163" t="s">
        <v>294</v>
      </c>
      <c r="G163" t="s">
        <v>91</v>
      </c>
      <c r="H163" t="s">
        <v>39</v>
      </c>
    </row>
    <row r="164" spans="1:8">
      <c r="A164" t="s">
        <v>265</v>
      </c>
      <c r="B164" t="s">
        <v>296</v>
      </c>
      <c r="C164" t="s">
        <v>19</v>
      </c>
      <c r="D164" t="s">
        <v>79</v>
      </c>
      <c r="E164" s="2">
        <v>0.16666666666666666</v>
      </c>
      <c r="F164" t="s">
        <v>297</v>
      </c>
      <c r="G164" t="s">
        <v>15</v>
      </c>
      <c r="H164" t="s">
        <v>39</v>
      </c>
    </row>
    <row r="165" spans="1:8">
      <c r="A165" t="s">
        <v>183</v>
      </c>
      <c r="B165" t="s">
        <v>298</v>
      </c>
      <c r="C165" t="s">
        <v>101</v>
      </c>
      <c r="D165" t="s">
        <v>71</v>
      </c>
      <c r="E165" s="1">
        <v>0.27083333333333331</v>
      </c>
      <c r="F165" t="s">
        <v>299</v>
      </c>
      <c r="G165" t="s">
        <v>19</v>
      </c>
      <c r="H165" t="s">
        <v>39</v>
      </c>
    </row>
    <row r="166" spans="1:8">
      <c r="A166" t="s">
        <v>250</v>
      </c>
      <c r="B166" t="s">
        <v>300</v>
      </c>
      <c r="C166" t="s">
        <v>78</v>
      </c>
      <c r="D166" t="s">
        <v>50</v>
      </c>
      <c r="E166" s="1">
        <v>0.97916666666666663</v>
      </c>
      <c r="F166" t="s">
        <v>299</v>
      </c>
      <c r="G166" t="s">
        <v>19</v>
      </c>
      <c r="H166" t="s">
        <v>39</v>
      </c>
    </row>
    <row r="167" spans="1:8">
      <c r="A167" t="s">
        <v>250</v>
      </c>
      <c r="B167" t="s">
        <v>300</v>
      </c>
      <c r="C167" t="s">
        <v>78</v>
      </c>
      <c r="D167" t="s">
        <v>50</v>
      </c>
      <c r="E167" s="1">
        <v>0.97916666666666663</v>
      </c>
      <c r="F167" t="s">
        <v>299</v>
      </c>
      <c r="G167" t="s">
        <v>19</v>
      </c>
      <c r="H167" t="s">
        <v>39</v>
      </c>
    </row>
    <row r="168" spans="1:8">
      <c r="A168" t="s">
        <v>151</v>
      </c>
      <c r="B168" t="s">
        <v>301</v>
      </c>
      <c r="C168" t="s">
        <v>55</v>
      </c>
      <c r="D168" t="s">
        <v>79</v>
      </c>
      <c r="E168" s="1">
        <v>0.375</v>
      </c>
      <c r="F168" t="s">
        <v>299</v>
      </c>
      <c r="G168" t="s">
        <v>19</v>
      </c>
      <c r="H168" t="s">
        <v>39</v>
      </c>
    </row>
    <row r="169" spans="1:8">
      <c r="A169" t="s">
        <v>173</v>
      </c>
      <c r="B169" t="s">
        <v>302</v>
      </c>
      <c r="C169" t="s">
        <v>101</v>
      </c>
      <c r="E169" s="2">
        <v>4.1666666666666664E-2</v>
      </c>
      <c r="F169" t="s">
        <v>303</v>
      </c>
      <c r="G169" t="s">
        <v>52</v>
      </c>
      <c r="H169" t="s">
        <v>39</v>
      </c>
    </row>
    <row r="170" spans="1:8">
      <c r="A170" t="s">
        <v>197</v>
      </c>
      <c r="B170" t="s">
        <v>304</v>
      </c>
      <c r="C170" t="s">
        <v>34</v>
      </c>
      <c r="D170" t="s">
        <v>19</v>
      </c>
      <c r="E170" s="2">
        <v>0.16666666666666666</v>
      </c>
      <c r="F170" t="s">
        <v>303</v>
      </c>
      <c r="G170" t="s">
        <v>52</v>
      </c>
      <c r="H170" t="s">
        <v>39</v>
      </c>
    </row>
    <row r="171" spans="1:8">
      <c r="A171" t="s">
        <v>197</v>
      </c>
      <c r="B171" t="s">
        <v>304</v>
      </c>
      <c r="C171" t="s">
        <v>34</v>
      </c>
      <c r="D171" t="s">
        <v>19</v>
      </c>
      <c r="E171" s="2">
        <v>0.16666666666666666</v>
      </c>
      <c r="F171" t="s">
        <v>303</v>
      </c>
      <c r="G171" t="s">
        <v>52</v>
      </c>
      <c r="H171" t="s">
        <v>39</v>
      </c>
    </row>
    <row r="172" spans="1:8">
      <c r="A172" t="s">
        <v>64</v>
      </c>
      <c r="B172" t="s">
        <v>305</v>
      </c>
      <c r="C172" t="s">
        <v>101</v>
      </c>
      <c r="D172" t="s">
        <v>50</v>
      </c>
      <c r="E172" s="1">
        <v>4.1666666666666664E-2</v>
      </c>
      <c r="F172" t="s">
        <v>303</v>
      </c>
      <c r="G172" t="s">
        <v>91</v>
      </c>
      <c r="H172" t="s">
        <v>39</v>
      </c>
    </row>
    <row r="173" spans="1:8">
      <c r="A173" t="s">
        <v>257</v>
      </c>
      <c r="B173" t="s">
        <v>306</v>
      </c>
      <c r="C173" t="s">
        <v>19</v>
      </c>
      <c r="D173" t="s">
        <v>45</v>
      </c>
      <c r="E173" s="1">
        <v>0.375</v>
      </c>
      <c r="F173" t="s">
        <v>303</v>
      </c>
      <c r="G173" t="s">
        <v>31</v>
      </c>
      <c r="H173" t="s">
        <v>39</v>
      </c>
    </row>
    <row r="174" spans="1:8">
      <c r="A174" t="s">
        <v>173</v>
      </c>
      <c r="B174" t="s">
        <v>302</v>
      </c>
      <c r="C174" t="s">
        <v>101</v>
      </c>
      <c r="E174" s="2">
        <v>4.1666666666666664E-2</v>
      </c>
      <c r="F174" t="s">
        <v>303</v>
      </c>
      <c r="G174" t="s">
        <v>52</v>
      </c>
      <c r="H174" t="s">
        <v>39</v>
      </c>
    </row>
    <row r="175" spans="1:8">
      <c r="A175" t="s">
        <v>307</v>
      </c>
      <c r="B175" t="s">
        <v>308</v>
      </c>
      <c r="C175" t="s">
        <v>12</v>
      </c>
      <c r="D175" t="s">
        <v>71</v>
      </c>
      <c r="E175" s="1">
        <v>0.10416666666666667</v>
      </c>
      <c r="F175" t="s">
        <v>309</v>
      </c>
      <c r="G175" t="s">
        <v>19</v>
      </c>
      <c r="H175" t="s">
        <v>39</v>
      </c>
    </row>
    <row r="176" spans="1:8">
      <c r="A176" t="s">
        <v>310</v>
      </c>
      <c r="B176" t="s">
        <v>311</v>
      </c>
      <c r="C176" t="s">
        <v>112</v>
      </c>
      <c r="E176" s="2">
        <v>0.95833333333333337</v>
      </c>
      <c r="F176" t="s">
        <v>312</v>
      </c>
      <c r="G176" t="s">
        <v>19</v>
      </c>
      <c r="H176" t="s">
        <v>39</v>
      </c>
    </row>
    <row r="177" spans="1:8">
      <c r="A177" t="s">
        <v>313</v>
      </c>
      <c r="B177" t="s">
        <v>314</v>
      </c>
      <c r="C177" t="s">
        <v>78</v>
      </c>
      <c r="D177" t="s">
        <v>71</v>
      </c>
      <c r="E177" s="2">
        <v>0.66666666666666663</v>
      </c>
      <c r="F177" t="s">
        <v>312</v>
      </c>
      <c r="H177" t="s">
        <v>39</v>
      </c>
    </row>
    <row r="178" spans="1:8">
      <c r="A178" t="s">
        <v>313</v>
      </c>
      <c r="B178" t="s">
        <v>314</v>
      </c>
      <c r="C178" t="s">
        <v>78</v>
      </c>
      <c r="D178" t="s">
        <v>71</v>
      </c>
      <c r="E178" s="2">
        <v>0.66666666666666663</v>
      </c>
      <c r="F178" t="s">
        <v>312</v>
      </c>
      <c r="H178" t="s">
        <v>39</v>
      </c>
    </row>
    <row r="179" spans="1:8">
      <c r="A179" t="s">
        <v>151</v>
      </c>
      <c r="B179" t="s">
        <v>315</v>
      </c>
      <c r="C179" t="s">
        <v>19</v>
      </c>
      <c r="D179" t="s">
        <v>79</v>
      </c>
      <c r="E179" s="2">
        <v>0.14583333333333334</v>
      </c>
      <c r="F179" t="s">
        <v>312</v>
      </c>
      <c r="G179" t="s">
        <v>19</v>
      </c>
      <c r="H179" t="s">
        <v>39</v>
      </c>
    </row>
    <row r="180" spans="1:8">
      <c r="A180" t="s">
        <v>151</v>
      </c>
      <c r="B180" t="s">
        <v>315</v>
      </c>
      <c r="C180" t="s">
        <v>19</v>
      </c>
      <c r="D180" t="s">
        <v>79</v>
      </c>
      <c r="E180" s="2">
        <v>0.14583333333333334</v>
      </c>
      <c r="F180" t="s">
        <v>312</v>
      </c>
      <c r="G180" t="s">
        <v>19</v>
      </c>
      <c r="H180" t="s">
        <v>39</v>
      </c>
    </row>
    <row r="181" spans="1:8">
      <c r="A181" t="s">
        <v>310</v>
      </c>
      <c r="B181" t="s">
        <v>316</v>
      </c>
      <c r="D181" t="s">
        <v>50</v>
      </c>
      <c r="E181" s="1">
        <v>0.22916666666666666</v>
      </c>
      <c r="F181" t="s">
        <v>312</v>
      </c>
      <c r="G181" t="s">
        <v>91</v>
      </c>
      <c r="H181" t="s">
        <v>39</v>
      </c>
    </row>
    <row r="182" spans="1:8">
      <c r="A182" t="s">
        <v>81</v>
      </c>
      <c r="B182" t="s">
        <v>317</v>
      </c>
      <c r="D182" t="s">
        <v>79</v>
      </c>
      <c r="E182" s="2">
        <v>0.20833333333333334</v>
      </c>
      <c r="F182" t="s">
        <v>318</v>
      </c>
      <c r="G182" t="s">
        <v>31</v>
      </c>
      <c r="H182" t="s">
        <v>39</v>
      </c>
    </row>
    <row r="183" spans="1:8">
      <c r="A183" t="s">
        <v>255</v>
      </c>
      <c r="B183" t="s">
        <v>319</v>
      </c>
      <c r="C183" t="s">
        <v>37</v>
      </c>
      <c r="D183" t="s">
        <v>50</v>
      </c>
      <c r="E183" s="2">
        <v>0.85416666666666663</v>
      </c>
      <c r="F183" t="s">
        <v>318</v>
      </c>
      <c r="G183" t="s">
        <v>28</v>
      </c>
      <c r="H183" t="s">
        <v>39</v>
      </c>
    </row>
    <row r="184" spans="1:8">
      <c r="A184" t="s">
        <v>255</v>
      </c>
      <c r="B184" t="s">
        <v>319</v>
      </c>
      <c r="C184" t="s">
        <v>37</v>
      </c>
      <c r="D184" t="s">
        <v>50</v>
      </c>
      <c r="E184" s="2">
        <v>0.85416666666666663</v>
      </c>
      <c r="F184" t="s">
        <v>318</v>
      </c>
      <c r="G184" t="s">
        <v>28</v>
      </c>
      <c r="H184" t="s">
        <v>39</v>
      </c>
    </row>
    <row r="185" spans="1:8">
      <c r="A185" t="s">
        <v>88</v>
      </c>
      <c r="B185" t="s">
        <v>320</v>
      </c>
      <c r="C185" t="s">
        <v>112</v>
      </c>
      <c r="D185" t="s">
        <v>19</v>
      </c>
      <c r="E185" s="1">
        <v>0.52083333333333337</v>
      </c>
      <c r="F185" t="s">
        <v>321</v>
      </c>
      <c r="H185" t="s">
        <v>39</v>
      </c>
    </row>
    <row r="186" spans="1:8">
      <c r="A186" t="s">
        <v>322</v>
      </c>
      <c r="B186" t="s">
        <v>323</v>
      </c>
      <c r="C186" t="s">
        <v>68</v>
      </c>
      <c r="D186" t="s">
        <v>79</v>
      </c>
      <c r="E186" s="1">
        <v>0.33333333333333331</v>
      </c>
      <c r="F186" t="s">
        <v>324</v>
      </c>
      <c r="G186" t="s">
        <v>28</v>
      </c>
      <c r="H186" t="s">
        <v>39</v>
      </c>
    </row>
    <row r="187" spans="1:8">
      <c r="A187" t="s">
        <v>83</v>
      </c>
      <c r="B187" t="s">
        <v>325</v>
      </c>
      <c r="C187" t="s">
        <v>101</v>
      </c>
      <c r="D187" t="s">
        <v>13</v>
      </c>
      <c r="E187" s="1">
        <v>0.60416666666666663</v>
      </c>
      <c r="F187" t="s">
        <v>324</v>
      </c>
      <c r="H187" t="s">
        <v>39</v>
      </c>
    </row>
    <row r="188" spans="1:8">
      <c r="A188" t="s">
        <v>83</v>
      </c>
      <c r="B188" t="s">
        <v>325</v>
      </c>
      <c r="C188" t="s">
        <v>101</v>
      </c>
      <c r="D188" t="s">
        <v>13</v>
      </c>
      <c r="E188" s="1">
        <v>0.60416666666666663</v>
      </c>
      <c r="F188" t="s">
        <v>324</v>
      </c>
      <c r="H188" t="s">
        <v>39</v>
      </c>
    </row>
    <row r="189" spans="1:8">
      <c r="A189" t="s">
        <v>88</v>
      </c>
      <c r="B189" t="s">
        <v>326</v>
      </c>
      <c r="C189" t="s">
        <v>112</v>
      </c>
      <c r="D189" t="s">
        <v>79</v>
      </c>
      <c r="E189" s="2">
        <v>0.9375</v>
      </c>
      <c r="F189" t="s">
        <v>324</v>
      </c>
      <c r="G189" t="s">
        <v>52</v>
      </c>
      <c r="H189" t="s">
        <v>39</v>
      </c>
    </row>
    <row r="190" spans="1:8">
      <c r="A190" t="s">
        <v>214</v>
      </c>
      <c r="B190" t="s">
        <v>327</v>
      </c>
      <c r="C190" t="s">
        <v>37</v>
      </c>
      <c r="E190" s="1">
        <v>0.5625</v>
      </c>
      <c r="F190" t="s">
        <v>324</v>
      </c>
      <c r="G190" t="s">
        <v>28</v>
      </c>
      <c r="H190" t="s">
        <v>39</v>
      </c>
    </row>
    <row r="191" spans="1:8">
      <c r="A191" t="s">
        <v>322</v>
      </c>
      <c r="B191" t="s">
        <v>323</v>
      </c>
      <c r="C191" t="s">
        <v>68</v>
      </c>
      <c r="D191" t="s">
        <v>79</v>
      </c>
      <c r="E191" s="1">
        <v>0.33333333333333331</v>
      </c>
      <c r="F191" t="s">
        <v>324</v>
      </c>
      <c r="G191" t="s">
        <v>28</v>
      </c>
      <c r="H191" t="s">
        <v>39</v>
      </c>
    </row>
    <row r="192" spans="1:8">
      <c r="A192" t="s">
        <v>92</v>
      </c>
      <c r="B192" t="s">
        <v>328</v>
      </c>
      <c r="C192" t="s">
        <v>68</v>
      </c>
      <c r="D192" t="s">
        <v>71</v>
      </c>
      <c r="E192" s="1">
        <v>0.70833333333333337</v>
      </c>
      <c r="F192" t="s">
        <v>329</v>
      </c>
      <c r="G192" t="s">
        <v>15</v>
      </c>
      <c r="H192" t="s">
        <v>39</v>
      </c>
    </row>
    <row r="193" spans="1:8">
      <c r="A193" t="s">
        <v>330</v>
      </c>
      <c r="B193" t="s">
        <v>331</v>
      </c>
      <c r="C193" t="s">
        <v>78</v>
      </c>
      <c r="D193" t="s">
        <v>50</v>
      </c>
      <c r="E193" s="2">
        <v>0.91666666666666663</v>
      </c>
      <c r="F193" t="s">
        <v>332</v>
      </c>
      <c r="G193" t="s">
        <v>19</v>
      </c>
      <c r="H193" t="s">
        <v>39</v>
      </c>
    </row>
    <row r="194" spans="1:8">
      <c r="A194" t="s">
        <v>117</v>
      </c>
      <c r="B194" t="s">
        <v>333</v>
      </c>
      <c r="C194" t="s">
        <v>78</v>
      </c>
      <c r="D194" t="s">
        <v>71</v>
      </c>
      <c r="E194" s="2">
        <v>0.5625</v>
      </c>
      <c r="F194" t="s">
        <v>332</v>
      </c>
      <c r="G194" t="s">
        <v>28</v>
      </c>
      <c r="H194" t="s">
        <v>39</v>
      </c>
    </row>
    <row r="195" spans="1:8">
      <c r="A195" t="s">
        <v>334</v>
      </c>
      <c r="B195" t="s">
        <v>335</v>
      </c>
      <c r="C195" t="s">
        <v>78</v>
      </c>
      <c r="D195" t="s">
        <v>71</v>
      </c>
      <c r="E195" s="1">
        <v>0.6875</v>
      </c>
      <c r="F195" t="s">
        <v>332</v>
      </c>
      <c r="G195" t="s">
        <v>19</v>
      </c>
      <c r="H195" t="s">
        <v>39</v>
      </c>
    </row>
    <row r="196" spans="1:8">
      <c r="A196" t="s">
        <v>17</v>
      </c>
      <c r="B196" t="s">
        <v>336</v>
      </c>
      <c r="E196" s="2">
        <v>0.89583333333333337</v>
      </c>
      <c r="F196" t="s">
        <v>337</v>
      </c>
      <c r="G196" t="s">
        <v>31</v>
      </c>
      <c r="H196" t="s">
        <v>39</v>
      </c>
    </row>
    <row r="197" spans="1:8">
      <c r="A197" t="s">
        <v>214</v>
      </c>
      <c r="B197" t="s">
        <v>338</v>
      </c>
      <c r="C197" t="s">
        <v>27</v>
      </c>
      <c r="D197" t="s">
        <v>13</v>
      </c>
      <c r="E197" s="1">
        <v>0.29166666666666669</v>
      </c>
      <c r="F197" t="s">
        <v>339</v>
      </c>
      <c r="G197" t="s">
        <v>52</v>
      </c>
      <c r="H197" t="s">
        <v>39</v>
      </c>
    </row>
    <row r="198" spans="1:8">
      <c r="A198" t="s">
        <v>117</v>
      </c>
      <c r="B198" t="s">
        <v>340</v>
      </c>
      <c r="C198" t="s">
        <v>68</v>
      </c>
      <c r="D198" t="s">
        <v>50</v>
      </c>
      <c r="E198" s="1">
        <v>0.29166666666666669</v>
      </c>
      <c r="F198" t="s">
        <v>339</v>
      </c>
      <c r="G198" t="s">
        <v>19</v>
      </c>
      <c r="H198" t="s">
        <v>39</v>
      </c>
    </row>
    <row r="199" spans="1:8">
      <c r="A199" t="s">
        <v>269</v>
      </c>
      <c r="B199" t="s">
        <v>341</v>
      </c>
      <c r="C199" t="s">
        <v>78</v>
      </c>
      <c r="D199" t="s">
        <v>79</v>
      </c>
      <c r="E199" s="2">
        <v>0.91666666666666663</v>
      </c>
      <c r="F199" t="s">
        <v>339</v>
      </c>
      <c r="H199" t="s">
        <v>39</v>
      </c>
    </row>
    <row r="200" spans="1:8">
      <c r="A200" t="s">
        <v>265</v>
      </c>
      <c r="B200" t="s">
        <v>342</v>
      </c>
      <c r="C200" t="s">
        <v>27</v>
      </c>
      <c r="D200" t="s">
        <v>19</v>
      </c>
      <c r="E200" s="2">
        <v>0.9375</v>
      </c>
      <c r="F200" t="s">
        <v>343</v>
      </c>
      <c r="G200" t="s">
        <v>19</v>
      </c>
      <c r="H200" t="s">
        <v>39</v>
      </c>
    </row>
    <row r="201" spans="1:8">
      <c r="A201" t="s">
        <v>147</v>
      </c>
      <c r="B201" t="s">
        <v>344</v>
      </c>
      <c r="C201" t="s">
        <v>34</v>
      </c>
      <c r="D201" t="s">
        <v>19</v>
      </c>
      <c r="E201" s="2">
        <v>0.8125</v>
      </c>
      <c r="F201" t="s">
        <v>345</v>
      </c>
      <c r="G201" t="s">
        <v>28</v>
      </c>
      <c r="H201" t="s">
        <v>39</v>
      </c>
    </row>
    <row r="202" spans="1:8">
      <c r="A202" t="s">
        <v>346</v>
      </c>
      <c r="B202" t="s">
        <v>347</v>
      </c>
      <c r="C202" t="s">
        <v>34</v>
      </c>
      <c r="D202" t="s">
        <v>19</v>
      </c>
      <c r="E202" s="1">
        <v>0.33333333333333331</v>
      </c>
      <c r="F202" t="s">
        <v>345</v>
      </c>
      <c r="G202" t="s">
        <v>19</v>
      </c>
      <c r="H202" t="s">
        <v>39</v>
      </c>
    </row>
    <row r="203" spans="1:8">
      <c r="A203" t="s">
        <v>147</v>
      </c>
      <c r="B203" t="s">
        <v>344</v>
      </c>
      <c r="C203" t="s">
        <v>34</v>
      </c>
      <c r="D203" t="s">
        <v>19</v>
      </c>
      <c r="E203" s="2">
        <v>0.8125</v>
      </c>
      <c r="F203" t="s">
        <v>345</v>
      </c>
      <c r="G203" t="s">
        <v>28</v>
      </c>
      <c r="H203" t="s">
        <v>39</v>
      </c>
    </row>
    <row r="204" spans="1:8">
      <c r="A204" t="s">
        <v>310</v>
      </c>
      <c r="B204" t="s">
        <v>348</v>
      </c>
      <c r="C204" t="s">
        <v>34</v>
      </c>
      <c r="E204" s="2">
        <v>0.47916666666666669</v>
      </c>
      <c r="F204" t="s">
        <v>345</v>
      </c>
      <c r="G204" t="s">
        <v>31</v>
      </c>
      <c r="H204" t="s">
        <v>39</v>
      </c>
    </row>
    <row r="205" spans="1:8">
      <c r="A205" t="s">
        <v>92</v>
      </c>
      <c r="B205" t="s">
        <v>349</v>
      </c>
      <c r="C205" t="s">
        <v>68</v>
      </c>
      <c r="D205" t="s">
        <v>13</v>
      </c>
      <c r="E205" s="1">
        <v>0.125</v>
      </c>
      <c r="F205" t="s">
        <v>345</v>
      </c>
      <c r="G205" t="s">
        <v>52</v>
      </c>
      <c r="H205" t="s">
        <v>39</v>
      </c>
    </row>
    <row r="206" spans="1:8">
      <c r="A206" t="s">
        <v>66</v>
      </c>
      <c r="B206" t="s">
        <v>350</v>
      </c>
      <c r="C206" t="s">
        <v>12</v>
      </c>
      <c r="D206" t="s">
        <v>50</v>
      </c>
      <c r="E206" s="1">
        <v>8.3333333333333329E-2</v>
      </c>
      <c r="F206" t="s">
        <v>345</v>
      </c>
      <c r="G206" t="s">
        <v>15</v>
      </c>
      <c r="H206" t="s">
        <v>39</v>
      </c>
    </row>
    <row r="207" spans="1:8">
      <c r="A207" t="s">
        <v>92</v>
      </c>
      <c r="B207" t="s">
        <v>349</v>
      </c>
      <c r="C207" t="s">
        <v>68</v>
      </c>
      <c r="D207" t="s">
        <v>13</v>
      </c>
      <c r="E207" s="1">
        <v>0.125</v>
      </c>
      <c r="F207" t="s">
        <v>345</v>
      </c>
      <c r="G207" t="s">
        <v>52</v>
      </c>
      <c r="H207" t="s">
        <v>39</v>
      </c>
    </row>
    <row r="208" spans="1:8">
      <c r="A208" t="s">
        <v>10</v>
      </c>
      <c r="B208" t="s">
        <v>351</v>
      </c>
      <c r="C208" t="s">
        <v>19</v>
      </c>
      <c r="D208" t="s">
        <v>79</v>
      </c>
      <c r="E208" s="1">
        <v>0.66666666666666663</v>
      </c>
      <c r="F208" t="s">
        <v>352</v>
      </c>
      <c r="G208" t="s">
        <v>28</v>
      </c>
      <c r="H208" t="s">
        <v>39</v>
      </c>
    </row>
    <row r="209" spans="1:8">
      <c r="A209" t="s">
        <v>255</v>
      </c>
      <c r="B209" t="s">
        <v>353</v>
      </c>
      <c r="C209" t="s">
        <v>12</v>
      </c>
      <c r="D209" t="s">
        <v>71</v>
      </c>
      <c r="E209" s="2">
        <v>0.64583333333333337</v>
      </c>
      <c r="F209" t="s">
        <v>354</v>
      </c>
      <c r="G209" t="s">
        <v>15</v>
      </c>
      <c r="H209" t="s">
        <v>39</v>
      </c>
    </row>
    <row r="210" spans="1:8">
      <c r="A210" t="s">
        <v>177</v>
      </c>
      <c r="B210" t="s">
        <v>355</v>
      </c>
      <c r="C210" t="s">
        <v>112</v>
      </c>
      <c r="D210" t="s">
        <v>19</v>
      </c>
      <c r="E210" s="2">
        <v>0.10416666666666667</v>
      </c>
      <c r="F210" t="s">
        <v>354</v>
      </c>
      <c r="G210" t="s">
        <v>52</v>
      </c>
      <c r="H210" t="s">
        <v>39</v>
      </c>
    </row>
    <row r="211" spans="1:8">
      <c r="A211" t="s">
        <v>119</v>
      </c>
      <c r="B211" t="s">
        <v>356</v>
      </c>
      <c r="C211" t="s">
        <v>55</v>
      </c>
      <c r="D211" t="s">
        <v>50</v>
      </c>
      <c r="E211" s="2">
        <v>0.64583333333333337</v>
      </c>
      <c r="F211" t="s">
        <v>354</v>
      </c>
      <c r="G211" t="s">
        <v>19</v>
      </c>
      <c r="H211" t="s">
        <v>39</v>
      </c>
    </row>
    <row r="212" spans="1:8">
      <c r="A212" t="s">
        <v>255</v>
      </c>
      <c r="B212" t="s">
        <v>353</v>
      </c>
      <c r="C212" t="s">
        <v>12</v>
      </c>
      <c r="D212" t="s">
        <v>71</v>
      </c>
      <c r="E212" s="2">
        <v>0.64583333333333337</v>
      </c>
      <c r="F212" t="s">
        <v>354</v>
      </c>
      <c r="G212" t="s">
        <v>15</v>
      </c>
      <c r="H212" t="s">
        <v>39</v>
      </c>
    </row>
    <row r="213" spans="1:8">
      <c r="A213" t="s">
        <v>119</v>
      </c>
      <c r="B213" t="s">
        <v>356</v>
      </c>
      <c r="C213" t="s">
        <v>55</v>
      </c>
      <c r="D213" t="s">
        <v>50</v>
      </c>
      <c r="E213" s="2">
        <v>0.64583333333333337</v>
      </c>
      <c r="F213" t="s">
        <v>354</v>
      </c>
      <c r="G213" t="s">
        <v>19</v>
      </c>
      <c r="H213" t="s">
        <v>39</v>
      </c>
    </row>
    <row r="214" spans="1:8">
      <c r="A214" t="s">
        <v>177</v>
      </c>
      <c r="B214" t="s">
        <v>355</v>
      </c>
      <c r="C214" t="s">
        <v>112</v>
      </c>
      <c r="D214" t="s">
        <v>19</v>
      </c>
      <c r="E214" s="2">
        <v>0.10416666666666667</v>
      </c>
      <c r="F214" t="s">
        <v>354</v>
      </c>
      <c r="G214" t="s">
        <v>52</v>
      </c>
      <c r="H214" t="s">
        <v>39</v>
      </c>
    </row>
    <row r="215" spans="1:8">
      <c r="A215" t="s">
        <v>239</v>
      </c>
      <c r="B215" t="s">
        <v>357</v>
      </c>
      <c r="D215" t="s">
        <v>13</v>
      </c>
      <c r="E215" s="2">
        <v>0</v>
      </c>
      <c r="F215" t="s">
        <v>358</v>
      </c>
      <c r="G215" t="s">
        <v>28</v>
      </c>
      <c r="H215" t="s">
        <v>39</v>
      </c>
    </row>
    <row r="216" spans="1:8">
      <c r="A216" t="s">
        <v>322</v>
      </c>
      <c r="B216" t="s">
        <v>359</v>
      </c>
      <c r="C216" t="s">
        <v>12</v>
      </c>
      <c r="D216" t="s">
        <v>71</v>
      </c>
      <c r="E216" s="2">
        <v>0.89583333333333337</v>
      </c>
      <c r="F216" t="s">
        <v>360</v>
      </c>
      <c r="G216" t="s">
        <v>31</v>
      </c>
      <c r="H216" t="s">
        <v>39</v>
      </c>
    </row>
    <row r="217" spans="1:8">
      <c r="A217" t="s">
        <v>346</v>
      </c>
      <c r="B217" t="s">
        <v>361</v>
      </c>
      <c r="C217" t="s">
        <v>101</v>
      </c>
      <c r="D217" t="s">
        <v>19</v>
      </c>
      <c r="E217" s="1">
        <v>0.125</v>
      </c>
      <c r="F217" t="s">
        <v>362</v>
      </c>
      <c r="G217" t="s">
        <v>31</v>
      </c>
      <c r="H217" t="s">
        <v>39</v>
      </c>
    </row>
    <row r="218" spans="1:8">
      <c r="A218" t="s">
        <v>135</v>
      </c>
      <c r="B218" t="s">
        <v>363</v>
      </c>
      <c r="C218" t="s">
        <v>78</v>
      </c>
      <c r="D218" t="s">
        <v>45</v>
      </c>
      <c r="E218" s="1">
        <v>0.66666666666666663</v>
      </c>
      <c r="F218" t="s">
        <v>362</v>
      </c>
      <c r="G218" t="s">
        <v>52</v>
      </c>
      <c r="H218" t="s">
        <v>39</v>
      </c>
    </row>
    <row r="219" spans="1:8">
      <c r="A219" t="s">
        <v>35</v>
      </c>
      <c r="B219" t="s">
        <v>364</v>
      </c>
      <c r="C219" t="s">
        <v>78</v>
      </c>
      <c r="D219" t="s">
        <v>79</v>
      </c>
      <c r="E219" s="2">
        <v>0.29166666666666669</v>
      </c>
      <c r="F219" t="s">
        <v>362</v>
      </c>
      <c r="G219" t="s">
        <v>28</v>
      </c>
      <c r="H219" t="s">
        <v>39</v>
      </c>
    </row>
    <row r="220" spans="1:8">
      <c r="A220" t="s">
        <v>257</v>
      </c>
      <c r="B220" t="s">
        <v>365</v>
      </c>
      <c r="C220" t="s">
        <v>101</v>
      </c>
      <c r="D220" t="s">
        <v>13</v>
      </c>
      <c r="E220" s="1">
        <v>0.66666666666666663</v>
      </c>
      <c r="F220" t="s">
        <v>362</v>
      </c>
      <c r="G220" t="s">
        <v>31</v>
      </c>
      <c r="H220" t="s">
        <v>39</v>
      </c>
    </row>
    <row r="221" spans="1:8">
      <c r="A221" t="s">
        <v>257</v>
      </c>
      <c r="B221" t="s">
        <v>365</v>
      </c>
      <c r="C221" t="s">
        <v>101</v>
      </c>
      <c r="D221" t="s">
        <v>13</v>
      </c>
      <c r="E221" s="1">
        <v>0.66666666666666663</v>
      </c>
      <c r="F221" t="s">
        <v>362</v>
      </c>
      <c r="G221" t="s">
        <v>31</v>
      </c>
      <c r="H221" t="s">
        <v>39</v>
      </c>
    </row>
    <row r="222" spans="1:8">
      <c r="A222" t="s">
        <v>135</v>
      </c>
      <c r="B222" t="s">
        <v>363</v>
      </c>
      <c r="C222" t="s">
        <v>78</v>
      </c>
      <c r="D222" t="s">
        <v>45</v>
      </c>
      <c r="E222" s="1">
        <v>0.66666666666666663</v>
      </c>
      <c r="F222" t="s">
        <v>362</v>
      </c>
      <c r="G222" t="s">
        <v>52</v>
      </c>
      <c r="H222" t="s">
        <v>39</v>
      </c>
    </row>
    <row r="223" spans="1:8">
      <c r="A223" t="s">
        <v>366</v>
      </c>
      <c r="B223" t="s">
        <v>367</v>
      </c>
      <c r="E223" s="2">
        <v>0.25</v>
      </c>
      <c r="F223" t="s">
        <v>362</v>
      </c>
      <c r="G223" t="s">
        <v>15</v>
      </c>
      <c r="H223" t="s">
        <v>39</v>
      </c>
    </row>
    <row r="224" spans="1:8">
      <c r="A224" t="s">
        <v>368</v>
      </c>
      <c r="B224" t="s">
        <v>369</v>
      </c>
      <c r="C224" t="s">
        <v>68</v>
      </c>
      <c r="D224" t="s">
        <v>45</v>
      </c>
      <c r="E224" s="2">
        <v>0.35416666666666669</v>
      </c>
      <c r="F224" t="s">
        <v>370</v>
      </c>
      <c r="G224" t="s">
        <v>19</v>
      </c>
      <c r="H224" t="s">
        <v>39</v>
      </c>
    </row>
    <row r="225" spans="1:8">
      <c r="A225" t="s">
        <v>368</v>
      </c>
      <c r="B225" t="s">
        <v>369</v>
      </c>
      <c r="C225" t="s">
        <v>68</v>
      </c>
      <c r="D225" t="s">
        <v>45</v>
      </c>
      <c r="E225" s="2">
        <v>0.35416666666666669</v>
      </c>
      <c r="F225" t="s">
        <v>370</v>
      </c>
      <c r="G225" t="s">
        <v>19</v>
      </c>
      <c r="H225" t="s">
        <v>39</v>
      </c>
    </row>
    <row r="226" spans="1:8">
      <c r="A226" t="s">
        <v>99</v>
      </c>
      <c r="B226" t="s">
        <v>371</v>
      </c>
      <c r="C226" t="s">
        <v>12</v>
      </c>
      <c r="D226" t="s">
        <v>71</v>
      </c>
      <c r="E226" s="2">
        <v>0.72916666666666663</v>
      </c>
      <c r="F226" t="s">
        <v>372</v>
      </c>
      <c r="G226" t="s">
        <v>19</v>
      </c>
      <c r="H226" t="s">
        <v>39</v>
      </c>
    </row>
    <row r="227" spans="1:8">
      <c r="A227" t="s">
        <v>255</v>
      </c>
      <c r="B227" t="s">
        <v>373</v>
      </c>
      <c r="C227" t="s">
        <v>112</v>
      </c>
      <c r="E227" s="1">
        <v>0.125</v>
      </c>
      <c r="F227" t="s">
        <v>374</v>
      </c>
      <c r="G227" t="s">
        <v>91</v>
      </c>
      <c r="H227" t="s">
        <v>39</v>
      </c>
    </row>
    <row r="228" spans="1:8">
      <c r="A228" t="s">
        <v>17</v>
      </c>
      <c r="B228" t="s">
        <v>375</v>
      </c>
      <c r="C228" t="s">
        <v>96</v>
      </c>
      <c r="D228" t="s">
        <v>45</v>
      </c>
      <c r="E228" s="1">
        <v>0.22916666666666666</v>
      </c>
      <c r="F228" t="s">
        <v>374</v>
      </c>
      <c r="H228" t="s">
        <v>39</v>
      </c>
    </row>
    <row r="229" spans="1:8">
      <c r="A229" t="s">
        <v>255</v>
      </c>
      <c r="B229" t="s">
        <v>373</v>
      </c>
      <c r="C229" t="s">
        <v>112</v>
      </c>
      <c r="E229" s="1">
        <v>0.125</v>
      </c>
      <c r="F229" t="s">
        <v>374</v>
      </c>
      <c r="G229" t="s">
        <v>91</v>
      </c>
      <c r="H229" t="s">
        <v>39</v>
      </c>
    </row>
    <row r="230" spans="1:8">
      <c r="A230" t="s">
        <v>17</v>
      </c>
      <c r="B230" t="s">
        <v>375</v>
      </c>
      <c r="C230" t="s">
        <v>96</v>
      </c>
      <c r="D230" t="s">
        <v>45</v>
      </c>
      <c r="E230" s="1">
        <v>0.22916666666666666</v>
      </c>
      <c r="F230" t="s">
        <v>374</v>
      </c>
      <c r="H230" t="s">
        <v>39</v>
      </c>
    </row>
    <row r="231" spans="1:8">
      <c r="A231" t="s">
        <v>183</v>
      </c>
      <c r="B231" t="s">
        <v>376</v>
      </c>
      <c r="C231" t="s">
        <v>34</v>
      </c>
      <c r="D231" t="s">
        <v>45</v>
      </c>
      <c r="E231" s="2">
        <v>0.125</v>
      </c>
      <c r="F231" t="s">
        <v>374</v>
      </c>
      <c r="G231" t="s">
        <v>15</v>
      </c>
      <c r="H231" t="s">
        <v>39</v>
      </c>
    </row>
    <row r="232" spans="1:8">
      <c r="A232" t="s">
        <v>190</v>
      </c>
      <c r="B232" t="s">
        <v>377</v>
      </c>
      <c r="C232" t="s">
        <v>37</v>
      </c>
      <c r="E232" s="1">
        <v>0.64583333333333337</v>
      </c>
      <c r="F232" t="s">
        <v>378</v>
      </c>
      <c r="G232" t="s">
        <v>91</v>
      </c>
      <c r="H232" t="s">
        <v>39</v>
      </c>
    </row>
    <row r="233" spans="1:8">
      <c r="A233" t="s">
        <v>250</v>
      </c>
      <c r="B233" t="s">
        <v>379</v>
      </c>
      <c r="C233" t="s">
        <v>68</v>
      </c>
      <c r="D233" t="s">
        <v>79</v>
      </c>
      <c r="E233" s="2">
        <v>0.95833333333333337</v>
      </c>
      <c r="F233" t="s">
        <v>380</v>
      </c>
      <c r="G233" t="s">
        <v>31</v>
      </c>
      <c r="H233" t="s">
        <v>39</v>
      </c>
    </row>
    <row r="234" spans="1:8">
      <c r="A234" t="s">
        <v>381</v>
      </c>
      <c r="B234" t="s">
        <v>382</v>
      </c>
      <c r="C234" t="s">
        <v>68</v>
      </c>
      <c r="D234" t="s">
        <v>71</v>
      </c>
      <c r="E234" s="2">
        <v>0.39583333333333331</v>
      </c>
      <c r="F234" t="s">
        <v>380</v>
      </c>
      <c r="G234" t="s">
        <v>91</v>
      </c>
      <c r="H234" t="s">
        <v>39</v>
      </c>
    </row>
    <row r="235" spans="1:8">
      <c r="A235" t="s">
        <v>59</v>
      </c>
      <c r="B235" t="s">
        <v>383</v>
      </c>
      <c r="C235" t="s">
        <v>112</v>
      </c>
      <c r="D235" t="s">
        <v>50</v>
      </c>
      <c r="E235" s="1">
        <v>0.72916666666666663</v>
      </c>
      <c r="F235" t="s">
        <v>380</v>
      </c>
      <c r="G235" t="s">
        <v>91</v>
      </c>
      <c r="H235" t="s">
        <v>39</v>
      </c>
    </row>
    <row r="236" spans="1:8">
      <c r="A236" t="s">
        <v>307</v>
      </c>
      <c r="B236" t="s">
        <v>384</v>
      </c>
      <c r="C236" t="s">
        <v>78</v>
      </c>
      <c r="D236" t="s">
        <v>45</v>
      </c>
      <c r="E236" s="2">
        <v>0.70833333333333337</v>
      </c>
      <c r="F236" t="s">
        <v>380</v>
      </c>
      <c r="H236" t="s">
        <v>39</v>
      </c>
    </row>
    <row r="237" spans="1:8">
      <c r="A237" t="s">
        <v>88</v>
      </c>
      <c r="B237" t="s">
        <v>385</v>
      </c>
      <c r="C237" t="s">
        <v>12</v>
      </c>
      <c r="D237" t="s">
        <v>19</v>
      </c>
      <c r="E237" s="2">
        <v>0.29166666666666669</v>
      </c>
      <c r="F237" t="s">
        <v>380</v>
      </c>
      <c r="G237" t="s">
        <v>91</v>
      </c>
      <c r="H237" t="s">
        <v>39</v>
      </c>
    </row>
    <row r="238" spans="1:8">
      <c r="A238" t="s">
        <v>59</v>
      </c>
      <c r="B238" t="s">
        <v>383</v>
      </c>
      <c r="C238" t="s">
        <v>112</v>
      </c>
      <c r="D238" t="s">
        <v>50</v>
      </c>
      <c r="E238" s="1">
        <v>0.72916666666666663</v>
      </c>
      <c r="F238" t="s">
        <v>380</v>
      </c>
      <c r="G238" t="s">
        <v>91</v>
      </c>
      <c r="H238" t="s">
        <v>39</v>
      </c>
    </row>
    <row r="239" spans="1:8">
      <c r="A239" t="s">
        <v>250</v>
      </c>
      <c r="B239" t="s">
        <v>379</v>
      </c>
      <c r="C239" t="s">
        <v>68</v>
      </c>
      <c r="D239" t="s">
        <v>79</v>
      </c>
      <c r="E239" s="2">
        <v>0.95833333333333337</v>
      </c>
      <c r="F239" t="s">
        <v>380</v>
      </c>
      <c r="G239" t="s">
        <v>31</v>
      </c>
      <c r="H239" t="s">
        <v>39</v>
      </c>
    </row>
    <row r="240" spans="1:8">
      <c r="A240" t="s">
        <v>386</v>
      </c>
      <c r="B240" t="s">
        <v>387</v>
      </c>
      <c r="C240" t="s">
        <v>96</v>
      </c>
      <c r="D240" t="s">
        <v>50</v>
      </c>
      <c r="E240" s="2">
        <v>0.77083333333333337</v>
      </c>
      <c r="F240" t="s">
        <v>388</v>
      </c>
      <c r="G240" t="s">
        <v>28</v>
      </c>
      <c r="H240" t="s">
        <v>39</v>
      </c>
    </row>
    <row r="241" spans="1:8">
      <c r="A241" t="s">
        <v>389</v>
      </c>
      <c r="B241" t="s">
        <v>390</v>
      </c>
      <c r="D241" t="s">
        <v>71</v>
      </c>
      <c r="E241" s="2">
        <v>0.52083333333333337</v>
      </c>
      <c r="F241" t="s">
        <v>388</v>
      </c>
      <c r="G241" t="s">
        <v>52</v>
      </c>
      <c r="H241" t="s">
        <v>39</v>
      </c>
    </row>
    <row r="242" spans="1:8">
      <c r="A242" t="s">
        <v>307</v>
      </c>
      <c r="B242" t="s">
        <v>391</v>
      </c>
      <c r="D242" t="s">
        <v>71</v>
      </c>
      <c r="E242" s="2">
        <v>0.375</v>
      </c>
      <c r="F242" t="s">
        <v>392</v>
      </c>
      <c r="G242" t="s">
        <v>91</v>
      </c>
      <c r="H242" t="s">
        <v>39</v>
      </c>
    </row>
    <row r="243" spans="1:8">
      <c r="A243" t="s">
        <v>393</v>
      </c>
      <c r="B243" t="s">
        <v>394</v>
      </c>
      <c r="C243" t="s">
        <v>101</v>
      </c>
      <c r="D243" t="s">
        <v>71</v>
      </c>
      <c r="E243" s="2">
        <v>0.9375</v>
      </c>
      <c r="F243" t="s">
        <v>392</v>
      </c>
      <c r="G243" t="s">
        <v>91</v>
      </c>
      <c r="H243" t="s">
        <v>39</v>
      </c>
    </row>
    <row r="244" spans="1:8">
      <c r="A244" t="s">
        <v>164</v>
      </c>
      <c r="B244" t="s">
        <v>395</v>
      </c>
      <c r="D244" t="s">
        <v>50</v>
      </c>
      <c r="E244" s="1">
        <v>0.60416666666666663</v>
      </c>
      <c r="F244" t="s">
        <v>392</v>
      </c>
      <c r="H244" t="s">
        <v>39</v>
      </c>
    </row>
    <row r="245" spans="1:8">
      <c r="A245" t="s">
        <v>396</v>
      </c>
      <c r="B245" t="s">
        <v>397</v>
      </c>
      <c r="C245" t="s">
        <v>34</v>
      </c>
      <c r="D245" t="s">
        <v>13</v>
      </c>
      <c r="E245" s="2">
        <v>0.5625</v>
      </c>
      <c r="F245" t="s">
        <v>392</v>
      </c>
      <c r="G245" t="s">
        <v>91</v>
      </c>
      <c r="H245" t="s">
        <v>39</v>
      </c>
    </row>
    <row r="246" spans="1:8">
      <c r="A246" t="s">
        <v>10</v>
      </c>
      <c r="B246" t="s">
        <v>398</v>
      </c>
      <c r="C246" t="s">
        <v>12</v>
      </c>
      <c r="D246" t="s">
        <v>50</v>
      </c>
      <c r="E246" s="1">
        <v>0.54166666666666663</v>
      </c>
      <c r="F246" t="s">
        <v>392</v>
      </c>
      <c r="G246" t="s">
        <v>31</v>
      </c>
      <c r="H246" t="s">
        <v>39</v>
      </c>
    </row>
    <row r="247" spans="1:8">
      <c r="A247" t="s">
        <v>330</v>
      </c>
      <c r="B247" t="s">
        <v>399</v>
      </c>
      <c r="D247" t="s">
        <v>71</v>
      </c>
      <c r="E247" s="2">
        <v>0.85416666666666663</v>
      </c>
      <c r="F247" t="s">
        <v>400</v>
      </c>
      <c r="G247" t="s">
        <v>19</v>
      </c>
      <c r="H247" t="s">
        <v>39</v>
      </c>
    </row>
    <row r="248" spans="1:8">
      <c r="A248" t="s">
        <v>330</v>
      </c>
      <c r="B248" t="s">
        <v>399</v>
      </c>
      <c r="D248" t="s">
        <v>71</v>
      </c>
      <c r="E248" s="2">
        <v>0.85416666666666663</v>
      </c>
      <c r="F248" t="s">
        <v>400</v>
      </c>
      <c r="G248" t="s">
        <v>19</v>
      </c>
      <c r="H248" t="s">
        <v>39</v>
      </c>
    </row>
    <row r="249" spans="1:8">
      <c r="A249" t="s">
        <v>73</v>
      </c>
      <c r="B249" t="s">
        <v>401</v>
      </c>
      <c r="C249" t="s">
        <v>101</v>
      </c>
      <c r="D249" t="s">
        <v>50</v>
      </c>
      <c r="E249" s="2">
        <v>0.85416666666666663</v>
      </c>
      <c r="F249" t="s">
        <v>400</v>
      </c>
      <c r="G249" t="s">
        <v>19</v>
      </c>
      <c r="H249" t="s">
        <v>39</v>
      </c>
    </row>
    <row r="250" spans="1:8">
      <c r="A250" t="s">
        <v>211</v>
      </c>
      <c r="B250" t="s">
        <v>402</v>
      </c>
      <c r="C250" t="s">
        <v>112</v>
      </c>
      <c r="D250" t="s">
        <v>50</v>
      </c>
      <c r="E250" s="1">
        <v>0.52083333333333337</v>
      </c>
      <c r="F250" t="s">
        <v>403</v>
      </c>
      <c r="G250" t="s">
        <v>15</v>
      </c>
      <c r="H250" t="s">
        <v>39</v>
      </c>
    </row>
    <row r="251" spans="1:8">
      <c r="A251" t="s">
        <v>211</v>
      </c>
      <c r="B251" t="s">
        <v>402</v>
      </c>
      <c r="C251" t="s">
        <v>112</v>
      </c>
      <c r="D251" t="s">
        <v>50</v>
      </c>
      <c r="E251" s="1">
        <v>0.52083333333333337</v>
      </c>
      <c r="F251" t="s">
        <v>403</v>
      </c>
      <c r="G251" t="s">
        <v>15</v>
      </c>
      <c r="H251" t="s">
        <v>39</v>
      </c>
    </row>
    <row r="252" spans="1:8">
      <c r="A252" t="s">
        <v>127</v>
      </c>
      <c r="B252" t="s">
        <v>404</v>
      </c>
      <c r="C252" t="s">
        <v>19</v>
      </c>
      <c r="E252" s="1">
        <v>0.83333333333333337</v>
      </c>
      <c r="F252" t="s">
        <v>405</v>
      </c>
      <c r="G252" t="s">
        <v>28</v>
      </c>
      <c r="H252" t="s">
        <v>39</v>
      </c>
    </row>
    <row r="253" spans="1:8">
      <c r="A253" t="s">
        <v>121</v>
      </c>
      <c r="B253" t="s">
        <v>406</v>
      </c>
      <c r="C253" t="s">
        <v>55</v>
      </c>
      <c r="D253" t="s">
        <v>71</v>
      </c>
      <c r="E253" s="1">
        <v>0.95833333333333337</v>
      </c>
      <c r="F253" t="s">
        <v>405</v>
      </c>
      <c r="G253" t="s">
        <v>28</v>
      </c>
      <c r="H253" t="s">
        <v>39</v>
      </c>
    </row>
    <row r="254" spans="1:8">
      <c r="A254" t="s">
        <v>205</v>
      </c>
      <c r="B254" t="s">
        <v>407</v>
      </c>
      <c r="C254" t="s">
        <v>101</v>
      </c>
      <c r="D254" t="s">
        <v>19</v>
      </c>
      <c r="E254" s="2">
        <v>0.6875</v>
      </c>
      <c r="F254" t="s">
        <v>405</v>
      </c>
      <c r="G254" t="s">
        <v>91</v>
      </c>
      <c r="H254" t="s">
        <v>39</v>
      </c>
    </row>
    <row r="255" spans="1:8">
      <c r="A255" t="s">
        <v>205</v>
      </c>
      <c r="B255" t="s">
        <v>407</v>
      </c>
      <c r="C255" t="s">
        <v>101</v>
      </c>
      <c r="D255" t="s">
        <v>19</v>
      </c>
      <c r="E255" s="2">
        <v>0.6875</v>
      </c>
      <c r="F255" t="s">
        <v>405</v>
      </c>
      <c r="G255" t="s">
        <v>91</v>
      </c>
      <c r="H255" t="s">
        <v>39</v>
      </c>
    </row>
    <row r="256" spans="1:8">
      <c r="A256" t="s">
        <v>265</v>
      </c>
      <c r="B256" t="s">
        <v>408</v>
      </c>
      <c r="D256" t="s">
        <v>19</v>
      </c>
      <c r="E256" s="2">
        <v>8.3333333333333329E-2</v>
      </c>
      <c r="F256" t="s">
        <v>405</v>
      </c>
      <c r="H256" t="s">
        <v>39</v>
      </c>
    </row>
    <row r="257" spans="1:8">
      <c r="A257" t="s">
        <v>127</v>
      </c>
      <c r="B257" t="s">
        <v>409</v>
      </c>
      <c r="C257" t="s">
        <v>34</v>
      </c>
      <c r="D257" t="s">
        <v>71</v>
      </c>
      <c r="E257" s="2">
        <v>0.54166666666666663</v>
      </c>
      <c r="F257" t="s">
        <v>410</v>
      </c>
      <c r="G257" t="s">
        <v>31</v>
      </c>
      <c r="H257" t="s">
        <v>39</v>
      </c>
    </row>
    <row r="258" spans="1:8">
      <c r="A258" t="s">
        <v>114</v>
      </c>
      <c r="B258" t="s">
        <v>411</v>
      </c>
      <c r="C258" t="s">
        <v>101</v>
      </c>
      <c r="D258" t="s">
        <v>19</v>
      </c>
      <c r="E258" s="1">
        <v>0.8125</v>
      </c>
      <c r="F258" t="s">
        <v>412</v>
      </c>
      <c r="G258" t="s">
        <v>31</v>
      </c>
      <c r="H258" t="s">
        <v>39</v>
      </c>
    </row>
    <row r="259" spans="1:8">
      <c r="A259" t="s">
        <v>46</v>
      </c>
      <c r="B259" t="s">
        <v>413</v>
      </c>
      <c r="C259" t="s">
        <v>27</v>
      </c>
      <c r="D259" t="s">
        <v>71</v>
      </c>
      <c r="E259" s="1">
        <v>0.41666666666666669</v>
      </c>
      <c r="F259" t="s">
        <v>412</v>
      </c>
      <c r="G259" t="s">
        <v>15</v>
      </c>
      <c r="H259" t="s">
        <v>39</v>
      </c>
    </row>
    <row r="260" spans="1:8">
      <c r="A260" t="s">
        <v>117</v>
      </c>
      <c r="B260" t="s">
        <v>414</v>
      </c>
      <c r="C260" t="s">
        <v>68</v>
      </c>
      <c r="D260" t="s">
        <v>13</v>
      </c>
      <c r="E260" s="1">
        <v>0.85416666666666663</v>
      </c>
      <c r="F260" t="s">
        <v>415</v>
      </c>
      <c r="G260" t="s">
        <v>28</v>
      </c>
      <c r="H260" t="s">
        <v>39</v>
      </c>
    </row>
    <row r="261" spans="1:8">
      <c r="A261" t="s">
        <v>416</v>
      </c>
      <c r="B261" t="s">
        <v>417</v>
      </c>
      <c r="C261" t="s">
        <v>68</v>
      </c>
      <c r="D261" t="s">
        <v>71</v>
      </c>
      <c r="E261" s="2">
        <v>0.47916666666666669</v>
      </c>
      <c r="F261" t="s">
        <v>415</v>
      </c>
      <c r="G261" t="s">
        <v>31</v>
      </c>
      <c r="H261" t="s">
        <v>39</v>
      </c>
    </row>
    <row r="262" spans="1:8">
      <c r="A262" t="s">
        <v>46</v>
      </c>
      <c r="B262" t="s">
        <v>418</v>
      </c>
      <c r="C262" t="s">
        <v>96</v>
      </c>
      <c r="D262" t="s">
        <v>45</v>
      </c>
      <c r="E262" s="1">
        <v>0.9375</v>
      </c>
      <c r="F262" t="s">
        <v>415</v>
      </c>
      <c r="H262" t="s">
        <v>21</v>
      </c>
    </row>
    <row r="263" spans="1:8">
      <c r="A263" t="s">
        <v>419</v>
      </c>
      <c r="B263" t="s">
        <v>420</v>
      </c>
      <c r="C263" t="s">
        <v>19</v>
      </c>
      <c r="D263" t="s">
        <v>71</v>
      </c>
      <c r="E263" s="1">
        <v>0.5</v>
      </c>
      <c r="F263" t="s">
        <v>421</v>
      </c>
      <c r="G263" t="s">
        <v>91</v>
      </c>
      <c r="H263" t="s">
        <v>39</v>
      </c>
    </row>
    <row r="264" spans="1:8">
      <c r="A264" t="s">
        <v>81</v>
      </c>
      <c r="B264" t="s">
        <v>422</v>
      </c>
      <c r="C264" t="s">
        <v>19</v>
      </c>
      <c r="D264" t="s">
        <v>45</v>
      </c>
      <c r="E264" s="2">
        <v>0.60416666666666663</v>
      </c>
      <c r="F264" t="s">
        <v>421</v>
      </c>
      <c r="G264" t="s">
        <v>28</v>
      </c>
      <c r="H264" t="s">
        <v>39</v>
      </c>
    </row>
    <row r="265" spans="1:8">
      <c r="A265" t="s">
        <v>133</v>
      </c>
      <c r="B265" t="s">
        <v>423</v>
      </c>
      <c r="C265" t="s">
        <v>112</v>
      </c>
      <c r="D265" t="s">
        <v>71</v>
      </c>
      <c r="E265" s="1">
        <v>0.29166666666666669</v>
      </c>
      <c r="F265" t="s">
        <v>424</v>
      </c>
      <c r="G265" t="s">
        <v>19</v>
      </c>
      <c r="H265" t="s">
        <v>39</v>
      </c>
    </row>
    <row r="266" spans="1:8">
      <c r="A266" t="s">
        <v>313</v>
      </c>
      <c r="B266" t="s">
        <v>425</v>
      </c>
      <c r="C266" t="s">
        <v>101</v>
      </c>
      <c r="D266" t="s">
        <v>71</v>
      </c>
      <c r="E266" s="1">
        <v>0.70833333333333337</v>
      </c>
      <c r="F266" t="s">
        <v>424</v>
      </c>
      <c r="G266" t="s">
        <v>19</v>
      </c>
      <c r="H266" t="s">
        <v>39</v>
      </c>
    </row>
    <row r="267" spans="1:8">
      <c r="A267" t="s">
        <v>73</v>
      </c>
      <c r="B267" t="s">
        <v>426</v>
      </c>
      <c r="C267" t="s">
        <v>37</v>
      </c>
      <c r="D267" t="s">
        <v>19</v>
      </c>
      <c r="E267" s="2">
        <v>0.91666666666666663</v>
      </c>
      <c r="F267" t="s">
        <v>424</v>
      </c>
      <c r="G267" t="s">
        <v>52</v>
      </c>
      <c r="H267" t="s">
        <v>39</v>
      </c>
    </row>
    <row r="268" spans="1:8">
      <c r="A268" t="s">
        <v>10</v>
      </c>
      <c r="B268" t="s">
        <v>427</v>
      </c>
      <c r="C268" t="s">
        <v>78</v>
      </c>
      <c r="D268" t="s">
        <v>79</v>
      </c>
      <c r="E268" s="1">
        <v>0.70833333333333337</v>
      </c>
      <c r="F268" t="s">
        <v>428</v>
      </c>
      <c r="G268" t="s">
        <v>52</v>
      </c>
      <c r="H268" t="s">
        <v>39</v>
      </c>
    </row>
    <row r="269" spans="1:8">
      <c r="A269" t="s">
        <v>69</v>
      </c>
      <c r="B269" t="s">
        <v>429</v>
      </c>
      <c r="C269" t="s">
        <v>27</v>
      </c>
      <c r="D269" t="s">
        <v>13</v>
      </c>
      <c r="E269" s="2">
        <v>0.39583333333333331</v>
      </c>
      <c r="F269" t="s">
        <v>430</v>
      </c>
      <c r="G269" t="s">
        <v>15</v>
      </c>
      <c r="H269" t="s">
        <v>39</v>
      </c>
    </row>
    <row r="270" spans="1:8">
      <c r="A270" t="s">
        <v>69</v>
      </c>
      <c r="B270" t="s">
        <v>429</v>
      </c>
      <c r="C270" t="s">
        <v>27</v>
      </c>
      <c r="D270" t="s">
        <v>13</v>
      </c>
      <c r="E270" s="2">
        <v>0.39583333333333331</v>
      </c>
      <c r="F270" t="s">
        <v>430</v>
      </c>
      <c r="G270" t="s">
        <v>15</v>
      </c>
      <c r="H270" t="s">
        <v>39</v>
      </c>
    </row>
    <row r="271" spans="1:8">
      <c r="A271" t="s">
        <v>32</v>
      </c>
      <c r="B271" t="s">
        <v>431</v>
      </c>
      <c r="C271" t="s">
        <v>34</v>
      </c>
      <c r="E271" s="2">
        <v>0.20833333333333334</v>
      </c>
      <c r="F271" t="s">
        <v>432</v>
      </c>
      <c r="G271" t="s">
        <v>19</v>
      </c>
      <c r="H271" t="s">
        <v>39</v>
      </c>
    </row>
    <row r="272" spans="1:8">
      <c r="A272" t="s">
        <v>121</v>
      </c>
      <c r="B272" t="s">
        <v>433</v>
      </c>
      <c r="E272" s="1">
        <v>0.89583333333333337</v>
      </c>
      <c r="F272" t="s">
        <v>432</v>
      </c>
      <c r="G272" t="s">
        <v>28</v>
      </c>
      <c r="H272" t="s">
        <v>39</v>
      </c>
    </row>
    <row r="273" spans="1:8">
      <c r="A273" t="s">
        <v>76</v>
      </c>
      <c r="B273" t="s">
        <v>434</v>
      </c>
      <c r="C273" t="s">
        <v>96</v>
      </c>
      <c r="D273" t="s">
        <v>79</v>
      </c>
      <c r="E273" s="2">
        <v>0.25</v>
      </c>
      <c r="F273" t="s">
        <v>435</v>
      </c>
      <c r="G273" t="s">
        <v>52</v>
      </c>
      <c r="H273" t="s">
        <v>39</v>
      </c>
    </row>
    <row r="274" spans="1:8">
      <c r="A274" t="s">
        <v>237</v>
      </c>
      <c r="B274" t="s">
        <v>436</v>
      </c>
      <c r="C274" t="s">
        <v>19</v>
      </c>
      <c r="D274" t="s">
        <v>79</v>
      </c>
      <c r="E274" s="1">
        <v>6.25E-2</v>
      </c>
      <c r="F274" t="s">
        <v>435</v>
      </c>
      <c r="G274" t="s">
        <v>52</v>
      </c>
      <c r="H274" t="s">
        <v>39</v>
      </c>
    </row>
    <row r="275" spans="1:8">
      <c r="A275" t="s">
        <v>237</v>
      </c>
      <c r="B275" t="s">
        <v>436</v>
      </c>
      <c r="C275" t="s">
        <v>19</v>
      </c>
      <c r="D275" t="s">
        <v>79</v>
      </c>
      <c r="E275" s="1">
        <v>6.25E-2</v>
      </c>
      <c r="F275" t="s">
        <v>435</v>
      </c>
      <c r="G275" t="s">
        <v>52</v>
      </c>
      <c r="H275" t="s">
        <v>39</v>
      </c>
    </row>
    <row r="276" spans="1:8">
      <c r="A276" t="s">
        <v>85</v>
      </c>
      <c r="B276" t="s">
        <v>437</v>
      </c>
      <c r="C276" t="s">
        <v>27</v>
      </c>
      <c r="D276" t="s">
        <v>71</v>
      </c>
      <c r="E276" s="2">
        <v>0.10416666666666667</v>
      </c>
      <c r="F276" t="s">
        <v>435</v>
      </c>
      <c r="G276" t="s">
        <v>15</v>
      </c>
      <c r="H276" t="s">
        <v>39</v>
      </c>
    </row>
    <row r="277" spans="1:8">
      <c r="A277" t="s">
        <v>322</v>
      </c>
      <c r="B277" t="s">
        <v>438</v>
      </c>
      <c r="C277" t="s">
        <v>101</v>
      </c>
      <c r="D277" t="s">
        <v>19</v>
      </c>
      <c r="E277" s="1">
        <v>0.16666666666666666</v>
      </c>
      <c r="F277" t="s">
        <v>439</v>
      </c>
      <c r="G277" t="s">
        <v>52</v>
      </c>
      <c r="H277" t="s">
        <v>39</v>
      </c>
    </row>
    <row r="278" spans="1:8">
      <c r="A278" t="s">
        <v>138</v>
      </c>
      <c r="B278" t="s">
        <v>440</v>
      </c>
      <c r="C278" t="s">
        <v>101</v>
      </c>
      <c r="D278" t="s">
        <v>71</v>
      </c>
      <c r="E278" s="1">
        <v>0.91666666666666663</v>
      </c>
      <c r="F278" t="s">
        <v>441</v>
      </c>
      <c r="G278" t="s">
        <v>52</v>
      </c>
      <c r="H278" t="s">
        <v>39</v>
      </c>
    </row>
    <row r="279" spans="1:8">
      <c r="A279" t="s">
        <v>223</v>
      </c>
      <c r="B279" t="s">
        <v>442</v>
      </c>
      <c r="C279" t="s">
        <v>37</v>
      </c>
      <c r="D279" t="s">
        <v>45</v>
      </c>
      <c r="E279" s="2">
        <v>0.52083333333333337</v>
      </c>
      <c r="F279" t="s">
        <v>441</v>
      </c>
      <c r="G279" t="s">
        <v>19</v>
      </c>
      <c r="H279" t="s">
        <v>39</v>
      </c>
    </row>
    <row r="280" spans="1:8">
      <c r="A280" t="s">
        <v>443</v>
      </c>
      <c r="B280" t="s">
        <v>444</v>
      </c>
      <c r="C280" t="s">
        <v>68</v>
      </c>
      <c r="D280" t="s">
        <v>71</v>
      </c>
      <c r="E280" s="2">
        <v>0.89583333333333337</v>
      </c>
      <c r="F280" t="s">
        <v>441</v>
      </c>
      <c r="G280" t="s">
        <v>91</v>
      </c>
      <c r="H280" t="s">
        <v>39</v>
      </c>
    </row>
    <row r="281" spans="1:8">
      <c r="A281" t="s">
        <v>389</v>
      </c>
      <c r="B281" t="s">
        <v>445</v>
      </c>
      <c r="C281" t="s">
        <v>68</v>
      </c>
      <c r="D281" t="s">
        <v>19</v>
      </c>
      <c r="E281" s="1">
        <v>0.83333333333333337</v>
      </c>
      <c r="F281" t="s">
        <v>446</v>
      </c>
      <c r="G281" t="s">
        <v>52</v>
      </c>
      <c r="H281" t="s">
        <v>39</v>
      </c>
    </row>
    <row r="282" spans="1:8">
      <c r="A282" t="s">
        <v>10</v>
      </c>
      <c r="B282" t="s">
        <v>447</v>
      </c>
      <c r="C282" t="s">
        <v>96</v>
      </c>
      <c r="D282" t="s">
        <v>50</v>
      </c>
      <c r="E282" s="1">
        <v>0.125</v>
      </c>
      <c r="F282" t="s">
        <v>446</v>
      </c>
      <c r="G282" t="s">
        <v>31</v>
      </c>
      <c r="H282" t="s">
        <v>21</v>
      </c>
    </row>
    <row r="283" spans="1:8">
      <c r="A283" t="s">
        <v>389</v>
      </c>
      <c r="B283" t="s">
        <v>445</v>
      </c>
      <c r="C283" t="s">
        <v>68</v>
      </c>
      <c r="D283" t="s">
        <v>19</v>
      </c>
      <c r="E283" s="1">
        <v>0.83333333333333337</v>
      </c>
      <c r="F283" t="s">
        <v>446</v>
      </c>
      <c r="G283" t="s">
        <v>52</v>
      </c>
      <c r="H283" t="s">
        <v>39</v>
      </c>
    </row>
    <row r="284" spans="1:8">
      <c r="A284" t="s">
        <v>265</v>
      </c>
      <c r="B284" t="s">
        <v>448</v>
      </c>
      <c r="C284" t="s">
        <v>37</v>
      </c>
      <c r="D284" t="s">
        <v>45</v>
      </c>
      <c r="E284" s="2">
        <v>0.45833333333333331</v>
      </c>
      <c r="F284" t="s">
        <v>446</v>
      </c>
      <c r="G284" t="s">
        <v>52</v>
      </c>
      <c r="H284" t="s">
        <v>39</v>
      </c>
    </row>
    <row r="285" spans="1:8">
      <c r="A285" t="s">
        <v>53</v>
      </c>
      <c r="B285" t="s">
        <v>449</v>
      </c>
      <c r="C285" t="s">
        <v>96</v>
      </c>
      <c r="D285" t="s">
        <v>50</v>
      </c>
      <c r="E285" s="2">
        <v>0.4375</v>
      </c>
      <c r="F285" t="s">
        <v>446</v>
      </c>
      <c r="G285" t="s">
        <v>15</v>
      </c>
      <c r="H285" t="s">
        <v>39</v>
      </c>
    </row>
    <row r="286" spans="1:8">
      <c r="A286" t="s">
        <v>313</v>
      </c>
      <c r="B286" t="s">
        <v>450</v>
      </c>
      <c r="C286" t="s">
        <v>27</v>
      </c>
      <c r="D286" t="s">
        <v>13</v>
      </c>
      <c r="E286" s="2">
        <v>0.72916666666666663</v>
      </c>
      <c r="F286" t="s">
        <v>446</v>
      </c>
      <c r="G286" t="s">
        <v>19</v>
      </c>
      <c r="H286" t="s">
        <v>39</v>
      </c>
    </row>
    <row r="287" spans="1:8">
      <c r="A287" t="s">
        <v>10</v>
      </c>
      <c r="B287" t="s">
        <v>447</v>
      </c>
      <c r="C287" t="s">
        <v>96</v>
      </c>
      <c r="D287" t="s">
        <v>50</v>
      </c>
      <c r="E287" s="1">
        <v>0.125</v>
      </c>
      <c r="F287" t="s">
        <v>446</v>
      </c>
      <c r="G287" t="s">
        <v>31</v>
      </c>
      <c r="H287" t="s">
        <v>21</v>
      </c>
    </row>
    <row r="288" spans="1:8">
      <c r="A288" t="s">
        <v>265</v>
      </c>
      <c r="B288" t="s">
        <v>451</v>
      </c>
      <c r="C288" t="s">
        <v>96</v>
      </c>
      <c r="D288" t="s">
        <v>19</v>
      </c>
      <c r="E288" s="1">
        <v>0.41666666666666669</v>
      </c>
      <c r="F288" t="s">
        <v>452</v>
      </c>
      <c r="G288" t="s">
        <v>91</v>
      </c>
      <c r="H288" t="s">
        <v>39</v>
      </c>
    </row>
    <row r="289" spans="1:8">
      <c r="A289" t="s">
        <v>190</v>
      </c>
      <c r="B289" t="s">
        <v>453</v>
      </c>
      <c r="C289" t="s">
        <v>78</v>
      </c>
      <c r="D289" t="s">
        <v>79</v>
      </c>
      <c r="E289" s="1">
        <v>0.41666666666666669</v>
      </c>
      <c r="F289" t="s">
        <v>452</v>
      </c>
      <c r="H289" t="s">
        <v>39</v>
      </c>
    </row>
    <row r="290" spans="1:8">
      <c r="A290" t="s">
        <v>147</v>
      </c>
      <c r="B290" t="s">
        <v>454</v>
      </c>
      <c r="C290" t="s">
        <v>12</v>
      </c>
      <c r="D290" t="s">
        <v>19</v>
      </c>
      <c r="E290" s="1">
        <v>0.70833333333333337</v>
      </c>
      <c r="F290" t="s">
        <v>455</v>
      </c>
      <c r="G290" t="s">
        <v>15</v>
      </c>
      <c r="H290" t="s">
        <v>39</v>
      </c>
    </row>
    <row r="291" spans="1:8">
      <c r="A291" t="s">
        <v>147</v>
      </c>
      <c r="B291" t="s">
        <v>454</v>
      </c>
      <c r="C291" t="s">
        <v>12</v>
      </c>
      <c r="D291" t="s">
        <v>19</v>
      </c>
      <c r="E291" s="1">
        <v>0.70833333333333337</v>
      </c>
      <c r="F291" t="s">
        <v>455</v>
      </c>
      <c r="G291" t="s">
        <v>15</v>
      </c>
      <c r="H291" t="s">
        <v>39</v>
      </c>
    </row>
    <row r="292" spans="1:8">
      <c r="A292" t="s">
        <v>313</v>
      </c>
      <c r="B292" t="s">
        <v>456</v>
      </c>
      <c r="C292" t="s">
        <v>34</v>
      </c>
      <c r="D292" t="s">
        <v>71</v>
      </c>
      <c r="E292" s="1">
        <v>0.4375</v>
      </c>
      <c r="F292" t="s">
        <v>455</v>
      </c>
      <c r="G292" t="s">
        <v>28</v>
      </c>
      <c r="H292" t="s">
        <v>39</v>
      </c>
    </row>
    <row r="293" spans="1:8">
      <c r="A293" t="s">
        <v>108</v>
      </c>
      <c r="B293" t="s">
        <v>457</v>
      </c>
      <c r="C293" t="s">
        <v>112</v>
      </c>
      <c r="D293" t="s">
        <v>50</v>
      </c>
      <c r="E293" s="2">
        <v>0.14583333333333334</v>
      </c>
      <c r="F293" t="s">
        <v>455</v>
      </c>
      <c r="G293" t="s">
        <v>52</v>
      </c>
      <c r="H293" t="s">
        <v>39</v>
      </c>
    </row>
    <row r="294" spans="1:8">
      <c r="A294" t="s">
        <v>17</v>
      </c>
      <c r="B294" t="s">
        <v>458</v>
      </c>
      <c r="C294" t="s">
        <v>112</v>
      </c>
      <c r="D294" t="s">
        <v>71</v>
      </c>
      <c r="E294" s="1">
        <v>0.91666666666666663</v>
      </c>
      <c r="F294" t="s">
        <v>455</v>
      </c>
      <c r="G294" t="s">
        <v>31</v>
      </c>
      <c r="H294" t="s">
        <v>39</v>
      </c>
    </row>
    <row r="295" spans="1:8">
      <c r="A295" t="s">
        <v>108</v>
      </c>
      <c r="B295" t="s">
        <v>457</v>
      </c>
      <c r="C295" t="s">
        <v>112</v>
      </c>
      <c r="D295" t="s">
        <v>50</v>
      </c>
      <c r="E295" s="2">
        <v>0.14583333333333334</v>
      </c>
      <c r="F295" t="s">
        <v>455</v>
      </c>
      <c r="G295" t="s">
        <v>52</v>
      </c>
      <c r="H295" t="s">
        <v>39</v>
      </c>
    </row>
    <row r="296" spans="1:8">
      <c r="A296" t="s">
        <v>381</v>
      </c>
      <c r="B296" t="s">
        <v>459</v>
      </c>
      <c r="C296" t="s">
        <v>12</v>
      </c>
      <c r="D296" t="s">
        <v>19</v>
      </c>
      <c r="E296" s="2">
        <v>0.6875</v>
      </c>
      <c r="F296" t="s">
        <v>460</v>
      </c>
      <c r="G296" t="s">
        <v>31</v>
      </c>
      <c r="H296" t="s">
        <v>39</v>
      </c>
    </row>
    <row r="297" spans="1:8">
      <c r="A297" t="s">
        <v>127</v>
      </c>
      <c r="B297" t="s">
        <v>461</v>
      </c>
      <c r="E297" s="1">
        <v>0.97916666666666663</v>
      </c>
      <c r="F297" t="s">
        <v>460</v>
      </c>
      <c r="G297" t="s">
        <v>31</v>
      </c>
      <c r="H297" t="s">
        <v>39</v>
      </c>
    </row>
    <row r="298" spans="1:8">
      <c r="A298" t="s">
        <v>117</v>
      </c>
      <c r="B298" t="s">
        <v>462</v>
      </c>
      <c r="C298" t="s">
        <v>12</v>
      </c>
      <c r="D298" t="s">
        <v>19</v>
      </c>
      <c r="E298" s="1">
        <v>0.22916666666666666</v>
      </c>
      <c r="F298" t="s">
        <v>460</v>
      </c>
      <c r="G298" t="s">
        <v>31</v>
      </c>
      <c r="H298" t="s">
        <v>39</v>
      </c>
    </row>
    <row r="299" spans="1:8">
      <c r="A299" t="s">
        <v>117</v>
      </c>
      <c r="B299" t="s">
        <v>463</v>
      </c>
      <c r="C299" t="s">
        <v>19</v>
      </c>
      <c r="D299" t="s">
        <v>50</v>
      </c>
      <c r="E299" s="1">
        <v>0.60416666666666663</v>
      </c>
      <c r="F299" t="s">
        <v>460</v>
      </c>
      <c r="G299" t="s">
        <v>28</v>
      </c>
      <c r="H299" t="s">
        <v>39</v>
      </c>
    </row>
    <row r="300" spans="1:8">
      <c r="A300" t="s">
        <v>242</v>
      </c>
      <c r="B300" t="s">
        <v>464</v>
      </c>
      <c r="C300" t="s">
        <v>68</v>
      </c>
      <c r="D300" t="s">
        <v>45</v>
      </c>
      <c r="E300" s="2">
        <v>0.39583333333333331</v>
      </c>
      <c r="F300" t="s">
        <v>460</v>
      </c>
      <c r="G300" t="s">
        <v>91</v>
      </c>
      <c r="H300" t="s">
        <v>39</v>
      </c>
    </row>
    <row r="301" spans="1:8">
      <c r="A301" t="s">
        <v>69</v>
      </c>
      <c r="B301" t="s">
        <v>465</v>
      </c>
      <c r="C301" t="s">
        <v>101</v>
      </c>
      <c r="D301" t="s">
        <v>79</v>
      </c>
      <c r="E301" s="1">
        <v>0.20833333333333334</v>
      </c>
      <c r="F301" t="s">
        <v>466</v>
      </c>
      <c r="G301" t="s">
        <v>15</v>
      </c>
      <c r="H301" t="s">
        <v>39</v>
      </c>
    </row>
    <row r="302" spans="1:8">
      <c r="A302" t="s">
        <v>180</v>
      </c>
      <c r="B302" t="s">
        <v>467</v>
      </c>
      <c r="C302" t="s">
        <v>55</v>
      </c>
      <c r="E302" s="1">
        <v>0.10416666666666667</v>
      </c>
      <c r="F302" t="s">
        <v>466</v>
      </c>
      <c r="G302" t="s">
        <v>19</v>
      </c>
      <c r="H302" t="s">
        <v>39</v>
      </c>
    </row>
    <row r="303" spans="1:8">
      <c r="A303" t="s">
        <v>393</v>
      </c>
      <c r="B303" t="s">
        <v>468</v>
      </c>
      <c r="C303" t="s">
        <v>37</v>
      </c>
      <c r="D303" t="s">
        <v>50</v>
      </c>
      <c r="E303" s="1">
        <v>0.6875</v>
      </c>
      <c r="F303" t="s">
        <v>466</v>
      </c>
      <c r="G303" t="s">
        <v>28</v>
      </c>
      <c r="H303" t="s">
        <v>39</v>
      </c>
    </row>
    <row r="304" spans="1:8">
      <c r="A304" t="s">
        <v>389</v>
      </c>
      <c r="B304" t="s">
        <v>469</v>
      </c>
      <c r="C304" t="s">
        <v>19</v>
      </c>
      <c r="D304" t="s">
        <v>71</v>
      </c>
      <c r="E304" s="1">
        <v>0.20833333333333334</v>
      </c>
      <c r="F304" t="s">
        <v>466</v>
      </c>
      <c r="H304" t="s">
        <v>39</v>
      </c>
    </row>
    <row r="305" spans="1:8">
      <c r="A305" t="s">
        <v>197</v>
      </c>
      <c r="B305" t="s">
        <v>470</v>
      </c>
      <c r="C305" t="s">
        <v>27</v>
      </c>
      <c r="D305" t="s">
        <v>19</v>
      </c>
      <c r="E305" s="1">
        <v>0.5</v>
      </c>
      <c r="F305" t="s">
        <v>471</v>
      </c>
      <c r="G305" t="s">
        <v>91</v>
      </c>
      <c r="H305" t="s">
        <v>39</v>
      </c>
    </row>
    <row r="306" spans="1:8">
      <c r="A306" t="s">
        <v>83</v>
      </c>
      <c r="B306" t="s">
        <v>472</v>
      </c>
      <c r="C306" t="s">
        <v>96</v>
      </c>
      <c r="D306" t="s">
        <v>45</v>
      </c>
      <c r="E306" s="1">
        <v>0.58333333333333337</v>
      </c>
      <c r="F306" t="s">
        <v>471</v>
      </c>
      <c r="G306" t="s">
        <v>52</v>
      </c>
      <c r="H306" t="s">
        <v>39</v>
      </c>
    </row>
    <row r="307" spans="1:8">
      <c r="A307" t="s">
        <v>255</v>
      </c>
      <c r="B307" t="s">
        <v>473</v>
      </c>
      <c r="C307" t="s">
        <v>101</v>
      </c>
      <c r="D307" t="s">
        <v>71</v>
      </c>
      <c r="E307" s="2">
        <v>0.60416666666666663</v>
      </c>
      <c r="F307" t="s">
        <v>471</v>
      </c>
      <c r="G307" t="s">
        <v>15</v>
      </c>
      <c r="H307" t="s">
        <v>39</v>
      </c>
    </row>
    <row r="308" spans="1:8">
      <c r="A308" t="s">
        <v>105</v>
      </c>
      <c r="B308" t="s">
        <v>474</v>
      </c>
      <c r="C308" t="s">
        <v>112</v>
      </c>
      <c r="D308" t="s">
        <v>19</v>
      </c>
      <c r="E308" s="1">
        <v>0.85416666666666663</v>
      </c>
      <c r="F308" t="s">
        <v>471</v>
      </c>
      <c r="G308" t="s">
        <v>28</v>
      </c>
      <c r="H308" t="s">
        <v>39</v>
      </c>
    </row>
    <row r="309" spans="1:8">
      <c r="A309" t="s">
        <v>475</v>
      </c>
      <c r="B309" t="s">
        <v>476</v>
      </c>
      <c r="C309" t="s">
        <v>34</v>
      </c>
      <c r="D309" t="s">
        <v>45</v>
      </c>
      <c r="E309" s="1">
        <v>0.95833333333333337</v>
      </c>
      <c r="F309" t="s">
        <v>477</v>
      </c>
      <c r="G309" t="s">
        <v>31</v>
      </c>
      <c r="H309" t="s">
        <v>39</v>
      </c>
    </row>
    <row r="310" spans="1:8">
      <c r="A310" t="s">
        <v>151</v>
      </c>
      <c r="B310" t="s">
        <v>478</v>
      </c>
      <c r="C310" t="s">
        <v>37</v>
      </c>
      <c r="D310" t="s">
        <v>45</v>
      </c>
      <c r="E310" s="1">
        <v>0.14583333333333334</v>
      </c>
      <c r="F310" t="s">
        <v>477</v>
      </c>
      <c r="G310" t="s">
        <v>91</v>
      </c>
      <c r="H310" t="s">
        <v>39</v>
      </c>
    </row>
    <row r="311" spans="1:8">
      <c r="A311" t="s">
        <v>202</v>
      </c>
      <c r="B311" t="s">
        <v>479</v>
      </c>
      <c r="C311" t="s">
        <v>101</v>
      </c>
      <c r="D311" t="s">
        <v>50</v>
      </c>
      <c r="E311" s="2">
        <v>0.20833333333333334</v>
      </c>
      <c r="F311" t="s">
        <v>477</v>
      </c>
      <c r="H311" t="s">
        <v>39</v>
      </c>
    </row>
    <row r="312" spans="1:8">
      <c r="A312" t="s">
        <v>183</v>
      </c>
      <c r="B312" t="s">
        <v>480</v>
      </c>
      <c r="C312" t="s">
        <v>34</v>
      </c>
      <c r="D312" t="s">
        <v>13</v>
      </c>
      <c r="E312" s="2">
        <v>0.39583333333333331</v>
      </c>
      <c r="F312" t="s">
        <v>477</v>
      </c>
      <c r="G312" t="s">
        <v>91</v>
      </c>
      <c r="H312" t="s">
        <v>39</v>
      </c>
    </row>
    <row r="313" spans="1:8">
      <c r="A313" t="s">
        <v>117</v>
      </c>
      <c r="B313" t="s">
        <v>481</v>
      </c>
      <c r="C313" t="s">
        <v>19</v>
      </c>
      <c r="D313" t="s">
        <v>79</v>
      </c>
      <c r="E313" s="1">
        <v>0.97916666666666663</v>
      </c>
      <c r="F313" t="s">
        <v>482</v>
      </c>
      <c r="H313" t="s">
        <v>39</v>
      </c>
    </row>
    <row r="314" spans="1:8">
      <c r="A314" t="s">
        <v>155</v>
      </c>
      <c r="B314" t="s">
        <v>483</v>
      </c>
      <c r="C314" t="s">
        <v>96</v>
      </c>
      <c r="D314" t="s">
        <v>79</v>
      </c>
      <c r="E314" s="2">
        <v>0.41666666666666669</v>
      </c>
      <c r="F314" t="s">
        <v>484</v>
      </c>
      <c r="G314" t="s">
        <v>19</v>
      </c>
      <c r="H314" t="s">
        <v>39</v>
      </c>
    </row>
    <row r="315" spans="1:8">
      <c r="A315" t="s">
        <v>155</v>
      </c>
      <c r="B315" t="s">
        <v>483</v>
      </c>
      <c r="C315" t="s">
        <v>96</v>
      </c>
      <c r="D315" t="s">
        <v>79</v>
      </c>
      <c r="E315" s="2">
        <v>0.41666666666666669</v>
      </c>
      <c r="F315" t="s">
        <v>484</v>
      </c>
      <c r="G315" t="s">
        <v>19</v>
      </c>
      <c r="H315" t="s">
        <v>39</v>
      </c>
    </row>
    <row r="316" spans="1:8">
      <c r="A316" t="s">
        <v>73</v>
      </c>
      <c r="B316" t="s">
        <v>485</v>
      </c>
      <c r="C316" t="s">
        <v>34</v>
      </c>
      <c r="D316" t="s">
        <v>45</v>
      </c>
      <c r="E316" s="2">
        <v>0.77083333333333337</v>
      </c>
      <c r="F316" t="s">
        <v>484</v>
      </c>
      <c r="G316" t="s">
        <v>15</v>
      </c>
      <c r="H316" t="s">
        <v>39</v>
      </c>
    </row>
    <row r="317" spans="1:8">
      <c r="A317" t="s">
        <v>330</v>
      </c>
      <c r="B317" t="s">
        <v>486</v>
      </c>
      <c r="C317" t="s">
        <v>37</v>
      </c>
      <c r="D317" t="s">
        <v>19</v>
      </c>
      <c r="E317" s="2">
        <v>0.77083333333333337</v>
      </c>
      <c r="F317" t="s">
        <v>484</v>
      </c>
      <c r="H317" t="s">
        <v>39</v>
      </c>
    </row>
    <row r="318" spans="1:8">
      <c r="A318" t="s">
        <v>170</v>
      </c>
      <c r="B318" t="s">
        <v>487</v>
      </c>
      <c r="C318" t="s">
        <v>55</v>
      </c>
      <c r="D318" t="s">
        <v>45</v>
      </c>
      <c r="E318" s="2">
        <v>0.9375</v>
      </c>
      <c r="F318" t="s">
        <v>488</v>
      </c>
      <c r="G318" t="s">
        <v>91</v>
      </c>
      <c r="H318" t="s">
        <v>39</v>
      </c>
    </row>
    <row r="319" spans="1:8">
      <c r="A319" t="s">
        <v>257</v>
      </c>
      <c r="B319" t="s">
        <v>489</v>
      </c>
      <c r="C319" t="s">
        <v>68</v>
      </c>
      <c r="D319" t="s">
        <v>13</v>
      </c>
      <c r="E319" s="2">
        <v>0.89583333333333337</v>
      </c>
      <c r="F319" t="s">
        <v>488</v>
      </c>
      <c r="G319" t="s">
        <v>52</v>
      </c>
      <c r="H319" t="s">
        <v>39</v>
      </c>
    </row>
    <row r="320" spans="1:8">
      <c r="A320" t="s">
        <v>416</v>
      </c>
      <c r="B320" t="s">
        <v>490</v>
      </c>
      <c r="C320" t="s">
        <v>27</v>
      </c>
      <c r="D320" t="s">
        <v>71</v>
      </c>
      <c r="E320" s="1">
        <v>8.3333333333333329E-2</v>
      </c>
      <c r="F320" t="s">
        <v>491</v>
      </c>
      <c r="G320" t="s">
        <v>28</v>
      </c>
      <c r="H320" t="s">
        <v>39</v>
      </c>
    </row>
    <row r="321" spans="1:8">
      <c r="A321" t="s">
        <v>92</v>
      </c>
      <c r="B321" t="s">
        <v>492</v>
      </c>
      <c r="C321" t="s">
        <v>78</v>
      </c>
      <c r="D321" t="s">
        <v>45</v>
      </c>
      <c r="E321" s="2">
        <v>0.16666666666666666</v>
      </c>
      <c r="F321" t="s">
        <v>493</v>
      </c>
      <c r="H321" t="s">
        <v>39</v>
      </c>
    </row>
    <row r="322" spans="1:8">
      <c r="A322" t="s">
        <v>494</v>
      </c>
      <c r="B322" t="s">
        <v>495</v>
      </c>
      <c r="D322" t="s">
        <v>19</v>
      </c>
      <c r="E322" s="1">
        <v>0.83333333333333337</v>
      </c>
      <c r="F322" t="s">
        <v>493</v>
      </c>
      <c r="G322" t="s">
        <v>19</v>
      </c>
      <c r="H322" t="s">
        <v>39</v>
      </c>
    </row>
    <row r="323" spans="1:8">
      <c r="A323" t="s">
        <v>92</v>
      </c>
      <c r="B323" t="s">
        <v>492</v>
      </c>
      <c r="C323" t="s">
        <v>78</v>
      </c>
      <c r="D323" t="s">
        <v>45</v>
      </c>
      <c r="E323" s="2">
        <v>0.16666666666666666</v>
      </c>
      <c r="F323" t="s">
        <v>493</v>
      </c>
      <c r="H323" t="s">
        <v>39</v>
      </c>
    </row>
    <row r="324" spans="1:8">
      <c r="A324" t="s">
        <v>494</v>
      </c>
      <c r="B324" t="s">
        <v>495</v>
      </c>
      <c r="D324" t="s">
        <v>19</v>
      </c>
      <c r="E324" s="1">
        <v>0.83333333333333337</v>
      </c>
      <c r="F324" t="s">
        <v>493</v>
      </c>
      <c r="G324" t="s">
        <v>19</v>
      </c>
      <c r="H324" t="s">
        <v>39</v>
      </c>
    </row>
    <row r="325" spans="1:8">
      <c r="A325" t="s">
        <v>443</v>
      </c>
      <c r="B325" t="s">
        <v>496</v>
      </c>
      <c r="C325" t="s">
        <v>101</v>
      </c>
      <c r="E325" s="2">
        <v>0.33333333333333331</v>
      </c>
      <c r="F325" t="s">
        <v>497</v>
      </c>
      <c r="H325" t="s">
        <v>39</v>
      </c>
    </row>
    <row r="326" spans="1:8">
      <c r="A326" t="s">
        <v>396</v>
      </c>
      <c r="B326" t="s">
        <v>498</v>
      </c>
      <c r="C326" t="s">
        <v>34</v>
      </c>
      <c r="D326" t="s">
        <v>50</v>
      </c>
      <c r="E326" s="2">
        <v>0.97916666666666663</v>
      </c>
      <c r="F326" t="s">
        <v>497</v>
      </c>
      <c r="G326" t="s">
        <v>91</v>
      </c>
      <c r="H326" t="s">
        <v>21</v>
      </c>
    </row>
    <row r="327" spans="1:8">
      <c r="A327" t="s">
        <v>396</v>
      </c>
      <c r="B327" t="s">
        <v>498</v>
      </c>
      <c r="C327" t="s">
        <v>34</v>
      </c>
      <c r="D327" t="s">
        <v>50</v>
      </c>
      <c r="E327" s="2">
        <v>0.97916666666666663</v>
      </c>
      <c r="F327" t="s">
        <v>497</v>
      </c>
      <c r="G327" t="s">
        <v>91</v>
      </c>
      <c r="H327" t="s">
        <v>21</v>
      </c>
    </row>
    <row r="328" spans="1:8">
      <c r="A328" t="s">
        <v>443</v>
      </c>
      <c r="B328" t="s">
        <v>496</v>
      </c>
      <c r="C328" t="s">
        <v>101</v>
      </c>
      <c r="E328" s="2">
        <v>0.33333333333333331</v>
      </c>
      <c r="F328" t="s">
        <v>497</v>
      </c>
      <c r="H328" t="s">
        <v>39</v>
      </c>
    </row>
    <row r="329" spans="1:8">
      <c r="A329" t="s">
        <v>499</v>
      </c>
      <c r="B329" t="s">
        <v>500</v>
      </c>
      <c r="C329" t="s">
        <v>112</v>
      </c>
      <c r="E329" s="1">
        <v>4.1666666666666664E-2</v>
      </c>
      <c r="F329" t="s">
        <v>501</v>
      </c>
      <c r="G329" t="s">
        <v>19</v>
      </c>
      <c r="H329" t="s">
        <v>39</v>
      </c>
    </row>
    <row r="330" spans="1:8">
      <c r="A330" t="s">
        <v>416</v>
      </c>
      <c r="B330" t="s">
        <v>502</v>
      </c>
      <c r="C330" t="s">
        <v>96</v>
      </c>
      <c r="D330" t="s">
        <v>71</v>
      </c>
      <c r="E330" s="2">
        <v>0.58333333333333337</v>
      </c>
      <c r="F330" t="s">
        <v>501</v>
      </c>
      <c r="G330" t="s">
        <v>28</v>
      </c>
      <c r="H330" t="s">
        <v>39</v>
      </c>
    </row>
    <row r="331" spans="1:8">
      <c r="A331" t="s">
        <v>202</v>
      </c>
      <c r="B331" t="s">
        <v>503</v>
      </c>
      <c r="C331" t="s">
        <v>68</v>
      </c>
      <c r="D331" t="s">
        <v>19</v>
      </c>
      <c r="E331" s="1">
        <v>6.25E-2</v>
      </c>
      <c r="F331" t="s">
        <v>504</v>
      </c>
      <c r="G331" t="s">
        <v>91</v>
      </c>
      <c r="H331" t="s">
        <v>39</v>
      </c>
    </row>
    <row r="332" spans="1:8">
      <c r="A332" t="s">
        <v>250</v>
      </c>
      <c r="B332" t="s">
        <v>505</v>
      </c>
      <c r="C332" t="s">
        <v>78</v>
      </c>
      <c r="D332" t="s">
        <v>13</v>
      </c>
      <c r="E332" s="1">
        <v>0.375</v>
      </c>
      <c r="F332" t="s">
        <v>506</v>
      </c>
      <c r="G332" t="s">
        <v>31</v>
      </c>
      <c r="H332" t="s">
        <v>39</v>
      </c>
    </row>
    <row r="333" spans="1:8">
      <c r="A333" t="s">
        <v>250</v>
      </c>
      <c r="B333" t="s">
        <v>505</v>
      </c>
      <c r="C333" t="s">
        <v>78</v>
      </c>
      <c r="D333" t="s">
        <v>13</v>
      </c>
      <c r="E333" s="1">
        <v>0.375</v>
      </c>
      <c r="F333" t="s">
        <v>506</v>
      </c>
      <c r="G333" t="s">
        <v>31</v>
      </c>
      <c r="H333" t="s">
        <v>39</v>
      </c>
    </row>
    <row r="334" spans="1:8">
      <c r="A334" t="s">
        <v>507</v>
      </c>
      <c r="B334" t="s">
        <v>508</v>
      </c>
      <c r="C334" t="s">
        <v>68</v>
      </c>
      <c r="D334" t="s">
        <v>79</v>
      </c>
      <c r="E334" s="2">
        <v>0.4375</v>
      </c>
      <c r="F334" t="s">
        <v>506</v>
      </c>
      <c r="G334" t="s">
        <v>31</v>
      </c>
      <c r="H334" t="s">
        <v>39</v>
      </c>
    </row>
    <row r="335" spans="1:8">
      <c r="A335" t="s">
        <v>108</v>
      </c>
      <c r="B335" t="s">
        <v>509</v>
      </c>
      <c r="C335" t="s">
        <v>37</v>
      </c>
      <c r="D335" t="s">
        <v>79</v>
      </c>
      <c r="E335" s="2">
        <v>0.6875</v>
      </c>
      <c r="F335" t="s">
        <v>510</v>
      </c>
      <c r="G335" t="s">
        <v>31</v>
      </c>
      <c r="H335" t="s">
        <v>39</v>
      </c>
    </row>
    <row r="336" spans="1:8">
      <c r="A336" t="s">
        <v>17</v>
      </c>
      <c r="B336" t="s">
        <v>511</v>
      </c>
      <c r="C336" t="s">
        <v>112</v>
      </c>
      <c r="D336" t="s">
        <v>45</v>
      </c>
      <c r="E336" s="1">
        <v>0.72916666666666663</v>
      </c>
      <c r="F336" t="s">
        <v>510</v>
      </c>
      <c r="G336" t="s">
        <v>52</v>
      </c>
      <c r="H336" t="s">
        <v>39</v>
      </c>
    </row>
    <row r="337" spans="1:8">
      <c r="A337" t="s">
        <v>17</v>
      </c>
      <c r="B337" t="s">
        <v>511</v>
      </c>
      <c r="C337" t="s">
        <v>112</v>
      </c>
      <c r="D337" t="s">
        <v>45</v>
      </c>
      <c r="E337" s="1">
        <v>0.72916666666666663</v>
      </c>
      <c r="F337" t="s">
        <v>510</v>
      </c>
      <c r="G337" t="s">
        <v>52</v>
      </c>
      <c r="H337" t="s">
        <v>39</v>
      </c>
    </row>
    <row r="338" spans="1:8">
      <c r="A338" t="s">
        <v>48</v>
      </c>
      <c r="B338" t="s">
        <v>512</v>
      </c>
      <c r="C338" t="s">
        <v>55</v>
      </c>
      <c r="D338" t="s">
        <v>19</v>
      </c>
      <c r="E338" s="1">
        <v>0.1875</v>
      </c>
      <c r="F338" t="s">
        <v>513</v>
      </c>
      <c r="G338" t="s">
        <v>15</v>
      </c>
      <c r="H338" t="s">
        <v>39</v>
      </c>
    </row>
    <row r="339" spans="1:8">
      <c r="A339" t="s">
        <v>419</v>
      </c>
      <c r="B339" t="s">
        <v>514</v>
      </c>
      <c r="C339" t="s">
        <v>34</v>
      </c>
      <c r="D339" t="s">
        <v>71</v>
      </c>
      <c r="E339" s="2">
        <v>0.16666666666666666</v>
      </c>
      <c r="F339" t="s">
        <v>513</v>
      </c>
      <c r="G339" t="s">
        <v>15</v>
      </c>
      <c r="H339" t="s">
        <v>39</v>
      </c>
    </row>
    <row r="340" spans="1:8">
      <c r="A340" t="s">
        <v>29</v>
      </c>
      <c r="B340" t="s">
        <v>515</v>
      </c>
      <c r="C340" t="s">
        <v>96</v>
      </c>
      <c r="D340" t="s">
        <v>19</v>
      </c>
      <c r="E340" s="1">
        <v>0.10416666666666667</v>
      </c>
      <c r="F340" t="s">
        <v>513</v>
      </c>
      <c r="G340" t="s">
        <v>91</v>
      </c>
      <c r="H340" t="s">
        <v>39</v>
      </c>
    </row>
    <row r="341" spans="1:8">
      <c r="A341" t="s">
        <v>108</v>
      </c>
      <c r="B341" t="s">
        <v>516</v>
      </c>
      <c r="C341" t="s">
        <v>34</v>
      </c>
      <c r="D341" t="s">
        <v>79</v>
      </c>
      <c r="E341" s="2">
        <v>0.58333333333333337</v>
      </c>
      <c r="F341" t="s">
        <v>517</v>
      </c>
      <c r="H341" t="s">
        <v>39</v>
      </c>
    </row>
    <row r="342" spans="1:8">
      <c r="A342" t="s">
        <v>133</v>
      </c>
      <c r="B342" t="s">
        <v>518</v>
      </c>
      <c r="C342" t="s">
        <v>27</v>
      </c>
      <c r="D342" t="s">
        <v>50</v>
      </c>
      <c r="E342" s="2">
        <v>0</v>
      </c>
      <c r="F342" t="s">
        <v>517</v>
      </c>
      <c r="G342" t="s">
        <v>31</v>
      </c>
      <c r="H342" t="s">
        <v>39</v>
      </c>
    </row>
    <row r="343" spans="1:8">
      <c r="A343" t="s">
        <v>265</v>
      </c>
      <c r="B343" t="s">
        <v>519</v>
      </c>
      <c r="C343" t="s">
        <v>55</v>
      </c>
      <c r="D343" t="s">
        <v>13</v>
      </c>
      <c r="E343" s="2">
        <v>0.58333333333333337</v>
      </c>
      <c r="F343" t="s">
        <v>520</v>
      </c>
      <c r="G343" t="s">
        <v>52</v>
      </c>
      <c r="H343" t="s">
        <v>39</v>
      </c>
    </row>
    <row r="344" spans="1:8">
      <c r="A344" t="s">
        <v>265</v>
      </c>
      <c r="B344" t="s">
        <v>519</v>
      </c>
      <c r="C344" t="s">
        <v>55</v>
      </c>
      <c r="D344" t="s">
        <v>13</v>
      </c>
      <c r="E344" s="2">
        <v>0.58333333333333337</v>
      </c>
      <c r="F344" t="s">
        <v>520</v>
      </c>
      <c r="G344" t="s">
        <v>52</v>
      </c>
      <c r="H344" t="s">
        <v>39</v>
      </c>
    </row>
    <row r="345" spans="1:8">
      <c r="A345" t="s">
        <v>108</v>
      </c>
      <c r="B345" t="s">
        <v>521</v>
      </c>
      <c r="C345" t="s">
        <v>68</v>
      </c>
      <c r="D345" t="s">
        <v>71</v>
      </c>
      <c r="E345" s="2">
        <v>0.3125</v>
      </c>
      <c r="F345" t="s">
        <v>520</v>
      </c>
      <c r="H345" t="s">
        <v>39</v>
      </c>
    </row>
    <row r="346" spans="1:8">
      <c r="A346" t="s">
        <v>46</v>
      </c>
      <c r="B346" t="s">
        <v>522</v>
      </c>
      <c r="C346" t="s">
        <v>37</v>
      </c>
      <c r="D346" t="s">
        <v>19</v>
      </c>
      <c r="E346" s="2">
        <v>0.16666666666666666</v>
      </c>
      <c r="F346" t="s">
        <v>520</v>
      </c>
      <c r="G346" t="s">
        <v>19</v>
      </c>
      <c r="H346" t="s">
        <v>39</v>
      </c>
    </row>
    <row r="347" spans="1:8">
      <c r="A347" t="s">
        <v>99</v>
      </c>
      <c r="B347" t="s">
        <v>523</v>
      </c>
      <c r="C347" t="s">
        <v>55</v>
      </c>
      <c r="D347" t="s">
        <v>13</v>
      </c>
      <c r="E347" s="2">
        <v>0.22916666666666666</v>
      </c>
      <c r="F347" t="s">
        <v>520</v>
      </c>
      <c r="G347" t="s">
        <v>28</v>
      </c>
      <c r="H347" t="s">
        <v>39</v>
      </c>
    </row>
    <row r="348" spans="1:8">
      <c r="A348" t="s">
        <v>46</v>
      </c>
      <c r="B348" t="s">
        <v>522</v>
      </c>
      <c r="C348" t="s">
        <v>37</v>
      </c>
      <c r="D348" t="s">
        <v>19</v>
      </c>
      <c r="E348" s="2">
        <v>0.16666666666666666</v>
      </c>
      <c r="F348" t="s">
        <v>520</v>
      </c>
      <c r="G348" t="s">
        <v>19</v>
      </c>
      <c r="H348" t="s">
        <v>39</v>
      </c>
    </row>
    <row r="349" spans="1:8">
      <c r="A349" t="s">
        <v>330</v>
      </c>
      <c r="B349" t="s">
        <v>524</v>
      </c>
      <c r="C349" t="s">
        <v>68</v>
      </c>
      <c r="D349" t="s">
        <v>13</v>
      </c>
      <c r="E349" s="1">
        <v>0.5</v>
      </c>
      <c r="F349" t="s">
        <v>525</v>
      </c>
      <c r="G349" t="s">
        <v>91</v>
      </c>
      <c r="H349" t="s">
        <v>39</v>
      </c>
    </row>
    <row r="350" spans="1:8">
      <c r="A350" t="s">
        <v>234</v>
      </c>
      <c r="B350" t="s">
        <v>526</v>
      </c>
      <c r="C350" t="s">
        <v>78</v>
      </c>
      <c r="D350" t="s">
        <v>45</v>
      </c>
      <c r="E350" s="2">
        <v>0.47916666666666669</v>
      </c>
      <c r="F350" t="s">
        <v>525</v>
      </c>
      <c r="G350" t="s">
        <v>31</v>
      </c>
      <c r="H350" t="s">
        <v>21</v>
      </c>
    </row>
    <row r="351" spans="1:8">
      <c r="A351" t="s">
        <v>265</v>
      </c>
      <c r="B351" t="s">
        <v>527</v>
      </c>
      <c r="C351" t="s">
        <v>112</v>
      </c>
      <c r="D351" t="s">
        <v>79</v>
      </c>
      <c r="E351" s="2">
        <v>0.16666666666666666</v>
      </c>
      <c r="F351" t="s">
        <v>525</v>
      </c>
      <c r="G351" t="s">
        <v>15</v>
      </c>
      <c r="H351" t="s">
        <v>39</v>
      </c>
    </row>
    <row r="352" spans="1:8">
      <c r="A352" t="s">
        <v>265</v>
      </c>
      <c r="B352" t="s">
        <v>527</v>
      </c>
      <c r="C352" t="s">
        <v>112</v>
      </c>
      <c r="D352" t="s">
        <v>79</v>
      </c>
      <c r="E352" s="2">
        <v>0.16666666666666666</v>
      </c>
      <c r="F352" t="s">
        <v>525</v>
      </c>
      <c r="G352" t="s">
        <v>15</v>
      </c>
      <c r="H352" t="s">
        <v>39</v>
      </c>
    </row>
    <row r="353" spans="1:8">
      <c r="A353" t="s">
        <v>313</v>
      </c>
      <c r="B353" t="s">
        <v>528</v>
      </c>
      <c r="C353" t="s">
        <v>101</v>
      </c>
      <c r="D353" t="s">
        <v>79</v>
      </c>
      <c r="E353" s="1">
        <v>0.29166666666666669</v>
      </c>
      <c r="F353" t="s">
        <v>529</v>
      </c>
      <c r="G353" t="s">
        <v>91</v>
      </c>
      <c r="H353" t="s">
        <v>39</v>
      </c>
    </row>
    <row r="354" spans="1:8">
      <c r="A354" t="s">
        <v>99</v>
      </c>
      <c r="B354" t="s">
        <v>530</v>
      </c>
      <c r="C354" t="s">
        <v>112</v>
      </c>
      <c r="D354" t="s">
        <v>79</v>
      </c>
      <c r="E354" s="2">
        <v>0.375</v>
      </c>
      <c r="F354" t="s">
        <v>529</v>
      </c>
      <c r="G354" t="s">
        <v>19</v>
      </c>
      <c r="H354" t="s">
        <v>39</v>
      </c>
    </row>
    <row r="355" spans="1:8">
      <c r="A355" t="s">
        <v>207</v>
      </c>
      <c r="B355" t="s">
        <v>531</v>
      </c>
      <c r="C355" t="s">
        <v>68</v>
      </c>
      <c r="D355" t="s">
        <v>50</v>
      </c>
      <c r="E355" s="1">
        <v>4.1666666666666664E-2</v>
      </c>
      <c r="F355" t="s">
        <v>529</v>
      </c>
      <c r="G355" t="s">
        <v>28</v>
      </c>
      <c r="H355" t="s">
        <v>39</v>
      </c>
    </row>
    <row r="356" spans="1:8">
      <c r="A356" t="s">
        <v>207</v>
      </c>
      <c r="B356" t="s">
        <v>531</v>
      </c>
      <c r="C356" t="s">
        <v>68</v>
      </c>
      <c r="D356" t="s">
        <v>50</v>
      </c>
      <c r="E356" s="1">
        <v>4.1666666666666664E-2</v>
      </c>
      <c r="F356" t="s">
        <v>529</v>
      </c>
      <c r="G356" t="s">
        <v>28</v>
      </c>
      <c r="H356" t="s">
        <v>39</v>
      </c>
    </row>
    <row r="357" spans="1:8">
      <c r="A357" t="s">
        <v>393</v>
      </c>
      <c r="B357" t="s">
        <v>532</v>
      </c>
      <c r="D357" t="s">
        <v>45</v>
      </c>
      <c r="E357" s="1">
        <v>0.6875</v>
      </c>
      <c r="F357" t="s">
        <v>529</v>
      </c>
      <c r="G357" t="s">
        <v>31</v>
      </c>
      <c r="H357" t="s">
        <v>39</v>
      </c>
    </row>
    <row r="358" spans="1:8">
      <c r="A358" t="s">
        <v>99</v>
      </c>
      <c r="B358" t="s">
        <v>530</v>
      </c>
      <c r="C358" t="s">
        <v>112</v>
      </c>
      <c r="D358" t="s">
        <v>79</v>
      </c>
      <c r="E358" s="2">
        <v>0.375</v>
      </c>
      <c r="F358" t="s">
        <v>529</v>
      </c>
      <c r="G358" t="s">
        <v>19</v>
      </c>
      <c r="H358" t="s">
        <v>39</v>
      </c>
    </row>
    <row r="359" spans="1:8">
      <c r="A359" t="s">
        <v>255</v>
      </c>
      <c r="B359" t="s">
        <v>533</v>
      </c>
      <c r="C359" t="s">
        <v>19</v>
      </c>
      <c r="E359" s="2">
        <v>0.14583333333333334</v>
      </c>
      <c r="F359" t="s">
        <v>534</v>
      </c>
      <c r="G359" t="s">
        <v>15</v>
      </c>
      <c r="H359" t="s">
        <v>39</v>
      </c>
    </row>
    <row r="360" spans="1:8">
      <c r="A360" t="s">
        <v>180</v>
      </c>
      <c r="B360" t="s">
        <v>535</v>
      </c>
      <c r="C360" t="s">
        <v>96</v>
      </c>
      <c r="D360" t="s">
        <v>45</v>
      </c>
      <c r="E360" s="1">
        <v>0.10416666666666667</v>
      </c>
      <c r="F360" t="s">
        <v>534</v>
      </c>
      <c r="G360" t="s">
        <v>19</v>
      </c>
      <c r="H360" t="s">
        <v>39</v>
      </c>
    </row>
    <row r="361" spans="1:8">
      <c r="A361" t="s">
        <v>536</v>
      </c>
      <c r="B361" t="s">
        <v>537</v>
      </c>
      <c r="C361" t="s">
        <v>101</v>
      </c>
      <c r="D361" t="s">
        <v>19</v>
      </c>
      <c r="E361" s="1">
        <v>0.47916666666666669</v>
      </c>
      <c r="F361" t="s">
        <v>534</v>
      </c>
      <c r="G361" t="s">
        <v>31</v>
      </c>
      <c r="H361" t="s">
        <v>39</v>
      </c>
    </row>
    <row r="362" spans="1:8">
      <c r="A362" t="s">
        <v>250</v>
      </c>
      <c r="B362" t="s">
        <v>538</v>
      </c>
      <c r="C362" t="s">
        <v>12</v>
      </c>
      <c r="D362" t="s">
        <v>50</v>
      </c>
      <c r="E362" s="1">
        <v>0.5625</v>
      </c>
      <c r="F362" t="s">
        <v>534</v>
      </c>
      <c r="G362" t="s">
        <v>19</v>
      </c>
      <c r="H362" t="s">
        <v>39</v>
      </c>
    </row>
    <row r="363" spans="1:8">
      <c r="A363" t="s">
        <v>419</v>
      </c>
      <c r="B363" t="s">
        <v>539</v>
      </c>
      <c r="C363" t="s">
        <v>27</v>
      </c>
      <c r="D363" t="s">
        <v>45</v>
      </c>
      <c r="E363" s="1">
        <v>0.4375</v>
      </c>
      <c r="F363" t="s">
        <v>534</v>
      </c>
      <c r="H363" t="s">
        <v>39</v>
      </c>
    </row>
    <row r="364" spans="1:8">
      <c r="A364" t="s">
        <v>22</v>
      </c>
      <c r="B364" t="s">
        <v>540</v>
      </c>
      <c r="C364" t="s">
        <v>101</v>
      </c>
      <c r="E364" s="2">
        <v>0.16666666666666666</v>
      </c>
      <c r="F364" t="s">
        <v>534</v>
      </c>
      <c r="G364" t="s">
        <v>15</v>
      </c>
      <c r="H364" t="s">
        <v>39</v>
      </c>
    </row>
    <row r="365" spans="1:8">
      <c r="A365" t="s">
        <v>257</v>
      </c>
      <c r="B365" t="s">
        <v>541</v>
      </c>
      <c r="C365" t="s">
        <v>112</v>
      </c>
      <c r="D365" t="s">
        <v>50</v>
      </c>
      <c r="E365" s="1">
        <v>0.77083333333333337</v>
      </c>
      <c r="F365" t="s">
        <v>542</v>
      </c>
      <c r="G365" t="s">
        <v>31</v>
      </c>
      <c r="H365" t="s">
        <v>39</v>
      </c>
    </row>
    <row r="366" spans="1:8">
      <c r="A366" t="s">
        <v>173</v>
      </c>
      <c r="B366" t="s">
        <v>543</v>
      </c>
      <c r="D366" t="s">
        <v>79</v>
      </c>
      <c r="E366" s="1">
        <v>0.95833333333333337</v>
      </c>
      <c r="F366" t="s">
        <v>542</v>
      </c>
      <c r="G366" t="s">
        <v>31</v>
      </c>
      <c r="H366" t="s">
        <v>39</v>
      </c>
    </row>
    <row r="367" spans="1:8">
      <c r="A367" t="s">
        <v>173</v>
      </c>
      <c r="B367" t="s">
        <v>544</v>
      </c>
      <c r="C367" t="s">
        <v>37</v>
      </c>
      <c r="D367" t="s">
        <v>71</v>
      </c>
      <c r="E367" s="1">
        <v>0.91666666666666663</v>
      </c>
      <c r="F367" t="s">
        <v>542</v>
      </c>
      <c r="G367" t="s">
        <v>19</v>
      </c>
      <c r="H367" t="s">
        <v>39</v>
      </c>
    </row>
    <row r="368" spans="1:8">
      <c r="A368" t="s">
        <v>40</v>
      </c>
      <c r="B368" t="s">
        <v>545</v>
      </c>
      <c r="C368" t="s">
        <v>19</v>
      </c>
      <c r="D368" t="s">
        <v>50</v>
      </c>
      <c r="E368" s="2">
        <v>0.54166666666666663</v>
      </c>
      <c r="F368" t="s">
        <v>542</v>
      </c>
      <c r="G368" t="s">
        <v>15</v>
      </c>
      <c r="H368" t="s">
        <v>39</v>
      </c>
    </row>
    <row r="369" spans="1:8">
      <c r="A369" t="s">
        <v>29</v>
      </c>
      <c r="B369" t="s">
        <v>546</v>
      </c>
      <c r="C369" t="s">
        <v>68</v>
      </c>
      <c r="D369" t="s">
        <v>13</v>
      </c>
      <c r="E369" s="2">
        <v>0.875</v>
      </c>
      <c r="F369" t="s">
        <v>542</v>
      </c>
      <c r="G369" t="s">
        <v>28</v>
      </c>
      <c r="H369" t="s">
        <v>39</v>
      </c>
    </row>
    <row r="370" spans="1:8">
      <c r="A370" t="s">
        <v>173</v>
      </c>
      <c r="B370" t="s">
        <v>547</v>
      </c>
      <c r="C370" t="s">
        <v>68</v>
      </c>
      <c r="D370" t="s">
        <v>79</v>
      </c>
      <c r="E370" s="2">
        <v>0.60416666666666663</v>
      </c>
      <c r="F370" t="s">
        <v>542</v>
      </c>
      <c r="H370" t="s">
        <v>39</v>
      </c>
    </row>
    <row r="371" spans="1:8">
      <c r="A371" t="s">
        <v>234</v>
      </c>
      <c r="B371" t="s">
        <v>548</v>
      </c>
      <c r="C371" t="s">
        <v>37</v>
      </c>
      <c r="D371" t="s">
        <v>19</v>
      </c>
      <c r="E371" s="1">
        <v>0.1875</v>
      </c>
      <c r="F371" t="s">
        <v>549</v>
      </c>
      <c r="G371" t="s">
        <v>15</v>
      </c>
      <c r="H371" t="s">
        <v>39</v>
      </c>
    </row>
    <row r="372" spans="1:8">
      <c r="A372" t="s">
        <v>133</v>
      </c>
      <c r="B372" t="s">
        <v>550</v>
      </c>
      <c r="C372" t="s">
        <v>12</v>
      </c>
      <c r="D372" t="s">
        <v>79</v>
      </c>
      <c r="E372" s="2">
        <v>8.3333333333333329E-2</v>
      </c>
      <c r="F372" t="s">
        <v>549</v>
      </c>
      <c r="G372" t="s">
        <v>28</v>
      </c>
      <c r="H372" t="s">
        <v>39</v>
      </c>
    </row>
    <row r="373" spans="1:8">
      <c r="A373" t="s">
        <v>255</v>
      </c>
      <c r="B373" t="s">
        <v>551</v>
      </c>
      <c r="C373" t="s">
        <v>101</v>
      </c>
      <c r="D373" t="s">
        <v>79</v>
      </c>
      <c r="E373" s="2">
        <v>0.89583333333333337</v>
      </c>
      <c r="F373" t="s">
        <v>549</v>
      </c>
      <c r="G373" t="s">
        <v>15</v>
      </c>
      <c r="H373" t="s">
        <v>39</v>
      </c>
    </row>
    <row r="374" spans="1:8">
      <c r="A374" t="s">
        <v>288</v>
      </c>
      <c r="B374" t="s">
        <v>552</v>
      </c>
      <c r="C374" t="s">
        <v>112</v>
      </c>
      <c r="D374" t="s">
        <v>45</v>
      </c>
      <c r="E374" s="1">
        <v>0.8125</v>
      </c>
      <c r="F374" t="s">
        <v>553</v>
      </c>
      <c r="G374" t="s">
        <v>15</v>
      </c>
      <c r="H374" t="s">
        <v>39</v>
      </c>
    </row>
    <row r="375" spans="1:8">
      <c r="A375" t="s">
        <v>108</v>
      </c>
      <c r="B375" t="s">
        <v>554</v>
      </c>
      <c r="C375" t="s">
        <v>68</v>
      </c>
      <c r="D375" t="s">
        <v>71</v>
      </c>
      <c r="E375" s="2">
        <v>0.875</v>
      </c>
      <c r="F375" t="s">
        <v>553</v>
      </c>
      <c r="H375" t="s">
        <v>39</v>
      </c>
    </row>
    <row r="376" spans="1:8">
      <c r="A376" t="s">
        <v>288</v>
      </c>
      <c r="B376" t="s">
        <v>552</v>
      </c>
      <c r="C376" t="s">
        <v>112</v>
      </c>
      <c r="D376" t="s">
        <v>45</v>
      </c>
      <c r="E376" s="1">
        <v>0.8125</v>
      </c>
      <c r="F376" t="s">
        <v>553</v>
      </c>
      <c r="G376" t="s">
        <v>15</v>
      </c>
      <c r="H376" t="s">
        <v>39</v>
      </c>
    </row>
    <row r="377" spans="1:8">
      <c r="A377" t="s">
        <v>133</v>
      </c>
      <c r="B377" t="s">
        <v>555</v>
      </c>
      <c r="C377" t="s">
        <v>68</v>
      </c>
      <c r="D377" t="s">
        <v>19</v>
      </c>
      <c r="E377" s="2">
        <v>0.6875</v>
      </c>
      <c r="F377" t="s">
        <v>556</v>
      </c>
      <c r="G377" t="s">
        <v>91</v>
      </c>
      <c r="H377" t="s">
        <v>39</v>
      </c>
    </row>
    <row r="378" spans="1:8">
      <c r="A378" t="s">
        <v>35</v>
      </c>
      <c r="B378" t="s">
        <v>557</v>
      </c>
      <c r="C378" t="s">
        <v>34</v>
      </c>
      <c r="E378" s="2">
        <v>0.72916666666666663</v>
      </c>
      <c r="F378" t="s">
        <v>556</v>
      </c>
      <c r="G378" t="s">
        <v>91</v>
      </c>
      <c r="H378" t="s">
        <v>39</v>
      </c>
    </row>
    <row r="379" spans="1:8">
      <c r="A379" t="s">
        <v>35</v>
      </c>
      <c r="B379" t="s">
        <v>557</v>
      </c>
      <c r="C379" t="s">
        <v>34</v>
      </c>
      <c r="E379" s="2">
        <v>0.72916666666666663</v>
      </c>
      <c r="F379" t="s">
        <v>556</v>
      </c>
      <c r="G379" t="s">
        <v>91</v>
      </c>
      <c r="H379" t="s">
        <v>39</v>
      </c>
    </row>
    <row r="380" spans="1:8">
      <c r="A380" t="s">
        <v>133</v>
      </c>
      <c r="B380" t="s">
        <v>558</v>
      </c>
      <c r="C380" t="s">
        <v>27</v>
      </c>
      <c r="D380" t="s">
        <v>19</v>
      </c>
      <c r="E380" s="2">
        <v>0.89583333333333337</v>
      </c>
      <c r="F380" t="s">
        <v>559</v>
      </c>
      <c r="G380" t="s">
        <v>15</v>
      </c>
      <c r="H380" t="s">
        <v>39</v>
      </c>
    </row>
    <row r="381" spans="1:8">
      <c r="A381" t="s">
        <v>133</v>
      </c>
      <c r="B381" t="s">
        <v>558</v>
      </c>
      <c r="C381" t="s">
        <v>27</v>
      </c>
      <c r="D381" t="s">
        <v>19</v>
      </c>
      <c r="E381" s="2">
        <v>0.89583333333333337</v>
      </c>
      <c r="F381" t="s">
        <v>559</v>
      </c>
      <c r="G381" t="s">
        <v>15</v>
      </c>
      <c r="H381" t="s">
        <v>39</v>
      </c>
    </row>
    <row r="382" spans="1:8">
      <c r="A382" t="s">
        <v>127</v>
      </c>
      <c r="B382" t="s">
        <v>560</v>
      </c>
      <c r="C382" t="s">
        <v>12</v>
      </c>
      <c r="D382" t="s">
        <v>71</v>
      </c>
      <c r="E382" s="1">
        <v>0.25</v>
      </c>
      <c r="F382" t="s">
        <v>561</v>
      </c>
      <c r="H382" t="s">
        <v>39</v>
      </c>
    </row>
    <row r="383" spans="1:8">
      <c r="A383" t="s">
        <v>242</v>
      </c>
      <c r="B383" t="s">
        <v>562</v>
      </c>
      <c r="C383" t="s">
        <v>12</v>
      </c>
      <c r="D383" t="s">
        <v>19</v>
      </c>
      <c r="E383" s="2">
        <v>0.6875</v>
      </c>
      <c r="F383" t="s">
        <v>561</v>
      </c>
      <c r="G383" t="s">
        <v>28</v>
      </c>
      <c r="H383" t="s">
        <v>39</v>
      </c>
    </row>
    <row r="384" spans="1:8">
      <c r="A384" t="s">
        <v>64</v>
      </c>
      <c r="B384" t="s">
        <v>563</v>
      </c>
      <c r="D384" t="s">
        <v>79</v>
      </c>
      <c r="E384" s="1">
        <v>0.41666666666666669</v>
      </c>
      <c r="F384" t="s">
        <v>564</v>
      </c>
      <c r="G384" t="s">
        <v>52</v>
      </c>
      <c r="H384" t="s">
        <v>39</v>
      </c>
    </row>
    <row r="385" spans="1:8">
      <c r="A385" t="s">
        <v>205</v>
      </c>
      <c r="B385" t="s">
        <v>565</v>
      </c>
      <c r="C385" t="s">
        <v>19</v>
      </c>
      <c r="D385" t="s">
        <v>79</v>
      </c>
      <c r="E385" s="1">
        <v>0.8125</v>
      </c>
      <c r="F385" t="s">
        <v>564</v>
      </c>
      <c r="G385" t="s">
        <v>31</v>
      </c>
      <c r="H385" t="s">
        <v>39</v>
      </c>
    </row>
    <row r="386" spans="1:8">
      <c r="A386" t="s">
        <v>190</v>
      </c>
      <c r="B386" t="s">
        <v>566</v>
      </c>
      <c r="C386" t="s">
        <v>37</v>
      </c>
      <c r="D386" t="s">
        <v>19</v>
      </c>
      <c r="E386" s="2">
        <v>8.3333333333333329E-2</v>
      </c>
      <c r="F386" t="s">
        <v>564</v>
      </c>
      <c r="G386" t="s">
        <v>52</v>
      </c>
      <c r="H386" t="s">
        <v>39</v>
      </c>
    </row>
    <row r="387" spans="1:8">
      <c r="A387" t="s">
        <v>117</v>
      </c>
      <c r="B387" t="s">
        <v>567</v>
      </c>
      <c r="C387" t="s">
        <v>34</v>
      </c>
      <c r="D387" t="s">
        <v>79</v>
      </c>
      <c r="E387" s="1">
        <v>0.125</v>
      </c>
      <c r="F387" t="s">
        <v>564</v>
      </c>
      <c r="G387" t="s">
        <v>15</v>
      </c>
      <c r="H387" t="s">
        <v>39</v>
      </c>
    </row>
    <row r="388" spans="1:8">
      <c r="A388" t="s">
        <v>205</v>
      </c>
      <c r="B388" t="s">
        <v>565</v>
      </c>
      <c r="C388" t="s">
        <v>19</v>
      </c>
      <c r="D388" t="s">
        <v>79</v>
      </c>
      <c r="E388" s="1">
        <v>0.8125</v>
      </c>
      <c r="F388" t="s">
        <v>564</v>
      </c>
      <c r="G388" t="s">
        <v>31</v>
      </c>
      <c r="H388" t="s">
        <v>39</v>
      </c>
    </row>
    <row r="389" spans="1:8">
      <c r="A389" t="s">
        <v>211</v>
      </c>
      <c r="B389" t="s">
        <v>568</v>
      </c>
      <c r="D389" t="s">
        <v>71</v>
      </c>
      <c r="E389" s="1">
        <v>0.29166666666666669</v>
      </c>
      <c r="F389" t="s">
        <v>569</v>
      </c>
      <c r="G389" t="s">
        <v>91</v>
      </c>
      <c r="H389" t="s">
        <v>39</v>
      </c>
    </row>
    <row r="390" spans="1:8">
      <c r="A390" t="s">
        <v>536</v>
      </c>
      <c r="B390" t="s">
        <v>570</v>
      </c>
      <c r="C390" t="s">
        <v>12</v>
      </c>
      <c r="D390" t="s">
        <v>13</v>
      </c>
      <c r="E390" s="1">
        <v>0.125</v>
      </c>
      <c r="F390" t="s">
        <v>569</v>
      </c>
      <c r="H390" t="s">
        <v>39</v>
      </c>
    </row>
    <row r="391" spans="1:8">
      <c r="A391" t="s">
        <v>211</v>
      </c>
      <c r="B391" t="s">
        <v>568</v>
      </c>
      <c r="D391" t="s">
        <v>71</v>
      </c>
      <c r="E391" s="1">
        <v>0.29166666666666669</v>
      </c>
      <c r="F391" t="s">
        <v>569</v>
      </c>
      <c r="G391" t="s">
        <v>91</v>
      </c>
      <c r="H391" t="s">
        <v>39</v>
      </c>
    </row>
    <row r="392" spans="1:8">
      <c r="A392" t="s">
        <v>571</v>
      </c>
      <c r="B392" t="s">
        <v>572</v>
      </c>
      <c r="C392" t="s">
        <v>101</v>
      </c>
      <c r="D392" t="s">
        <v>13</v>
      </c>
      <c r="E392" s="1">
        <v>0.5</v>
      </c>
      <c r="F392" t="s">
        <v>569</v>
      </c>
      <c r="G392" t="s">
        <v>52</v>
      </c>
      <c r="H392" t="s">
        <v>39</v>
      </c>
    </row>
    <row r="393" spans="1:8">
      <c r="A393" t="s">
        <v>234</v>
      </c>
      <c r="B393" t="s">
        <v>573</v>
      </c>
      <c r="C393" t="s">
        <v>27</v>
      </c>
      <c r="D393" t="s">
        <v>79</v>
      </c>
      <c r="E393" s="1">
        <v>0.9375</v>
      </c>
      <c r="F393" t="s">
        <v>569</v>
      </c>
      <c r="H393" t="s">
        <v>39</v>
      </c>
    </row>
    <row r="394" spans="1:8">
      <c r="A394" t="s">
        <v>76</v>
      </c>
      <c r="B394" t="s">
        <v>574</v>
      </c>
      <c r="C394" t="s">
        <v>34</v>
      </c>
      <c r="E394" s="2">
        <v>0.85416666666666663</v>
      </c>
      <c r="F394" t="s">
        <v>575</v>
      </c>
      <c r="G394" t="s">
        <v>15</v>
      </c>
      <c r="H394" t="s">
        <v>39</v>
      </c>
    </row>
    <row r="395" spans="1:8">
      <c r="A395" t="s">
        <v>322</v>
      </c>
      <c r="B395" t="s">
        <v>576</v>
      </c>
      <c r="C395" t="s">
        <v>68</v>
      </c>
      <c r="D395" t="s">
        <v>19</v>
      </c>
      <c r="E395" s="1">
        <v>0.25</v>
      </c>
      <c r="F395" t="s">
        <v>575</v>
      </c>
      <c r="H395" t="s">
        <v>39</v>
      </c>
    </row>
    <row r="396" spans="1:8">
      <c r="A396" t="s">
        <v>322</v>
      </c>
      <c r="B396" t="s">
        <v>576</v>
      </c>
      <c r="C396" t="s">
        <v>68</v>
      </c>
      <c r="D396" t="s">
        <v>19</v>
      </c>
      <c r="E396" s="1">
        <v>0.25</v>
      </c>
      <c r="F396" t="s">
        <v>575</v>
      </c>
      <c r="H396" t="s">
        <v>39</v>
      </c>
    </row>
    <row r="397" spans="1:8">
      <c r="A397" t="s">
        <v>76</v>
      </c>
      <c r="B397" t="s">
        <v>574</v>
      </c>
      <c r="C397" t="s">
        <v>34</v>
      </c>
      <c r="E397" s="2">
        <v>0.85416666666666663</v>
      </c>
      <c r="F397" t="s">
        <v>575</v>
      </c>
      <c r="G397" t="s">
        <v>15</v>
      </c>
      <c r="H397" t="s">
        <v>39</v>
      </c>
    </row>
    <row r="398" spans="1:8">
      <c r="A398" t="s">
        <v>138</v>
      </c>
      <c r="B398" t="s">
        <v>577</v>
      </c>
      <c r="C398" t="s">
        <v>101</v>
      </c>
      <c r="D398" t="s">
        <v>13</v>
      </c>
      <c r="E398" s="2">
        <v>0.16666666666666666</v>
      </c>
      <c r="F398" t="s">
        <v>578</v>
      </c>
      <c r="G398" t="s">
        <v>31</v>
      </c>
      <c r="H398" t="s">
        <v>39</v>
      </c>
    </row>
    <row r="399" spans="1:8">
      <c r="A399" t="s">
        <v>288</v>
      </c>
      <c r="B399" t="s">
        <v>579</v>
      </c>
      <c r="C399" t="s">
        <v>27</v>
      </c>
      <c r="D399" t="s">
        <v>45</v>
      </c>
      <c r="E399" s="2">
        <v>0.39583333333333331</v>
      </c>
      <c r="F399" t="s">
        <v>578</v>
      </c>
      <c r="G399" t="s">
        <v>15</v>
      </c>
      <c r="H399" t="s">
        <v>39</v>
      </c>
    </row>
    <row r="400" spans="1:8">
      <c r="A400" t="s">
        <v>138</v>
      </c>
      <c r="B400" t="s">
        <v>577</v>
      </c>
      <c r="C400" t="s">
        <v>101</v>
      </c>
      <c r="D400" t="s">
        <v>13</v>
      </c>
      <c r="E400" s="2">
        <v>0.16666666666666666</v>
      </c>
      <c r="F400" t="s">
        <v>578</v>
      </c>
      <c r="G400" t="s">
        <v>31</v>
      </c>
      <c r="H400" t="s">
        <v>39</v>
      </c>
    </row>
    <row r="401" spans="1:8">
      <c r="A401" t="s">
        <v>40</v>
      </c>
      <c r="B401" t="s">
        <v>580</v>
      </c>
      <c r="C401" t="s">
        <v>78</v>
      </c>
      <c r="E401" s="1">
        <v>0.35416666666666669</v>
      </c>
      <c r="F401" t="s">
        <v>578</v>
      </c>
      <c r="G401" t="s">
        <v>15</v>
      </c>
      <c r="H401" t="s">
        <v>39</v>
      </c>
    </row>
    <row r="402" spans="1:8">
      <c r="A402" t="s">
        <v>40</v>
      </c>
      <c r="B402" t="s">
        <v>580</v>
      </c>
      <c r="C402" t="s">
        <v>78</v>
      </c>
      <c r="E402" s="1">
        <v>0.35416666666666669</v>
      </c>
      <c r="F402" t="s">
        <v>578</v>
      </c>
      <c r="G402" t="s">
        <v>15</v>
      </c>
      <c r="H402" t="s">
        <v>39</v>
      </c>
    </row>
    <row r="403" spans="1:8">
      <c r="A403" t="s">
        <v>288</v>
      </c>
      <c r="B403" t="s">
        <v>579</v>
      </c>
      <c r="C403" t="s">
        <v>27</v>
      </c>
      <c r="D403" t="s">
        <v>45</v>
      </c>
      <c r="E403" s="2">
        <v>0.39583333333333331</v>
      </c>
      <c r="F403" t="s">
        <v>578</v>
      </c>
      <c r="G403" t="s">
        <v>15</v>
      </c>
      <c r="H403" t="s">
        <v>39</v>
      </c>
    </row>
    <row r="404" spans="1:8">
      <c r="A404" t="s">
        <v>173</v>
      </c>
      <c r="B404" t="s">
        <v>581</v>
      </c>
      <c r="C404" t="s">
        <v>96</v>
      </c>
      <c r="D404" t="s">
        <v>19</v>
      </c>
      <c r="E404" s="2">
        <v>0.52083333333333337</v>
      </c>
      <c r="F404" t="s">
        <v>582</v>
      </c>
      <c r="G404" t="s">
        <v>28</v>
      </c>
      <c r="H404" t="s">
        <v>39</v>
      </c>
    </row>
    <row r="405" spans="1:8">
      <c r="A405" t="s">
        <v>229</v>
      </c>
      <c r="B405" t="s">
        <v>583</v>
      </c>
      <c r="C405" t="s">
        <v>27</v>
      </c>
      <c r="D405" t="s">
        <v>13</v>
      </c>
      <c r="E405" s="2">
        <v>0.45833333333333331</v>
      </c>
      <c r="F405" t="s">
        <v>584</v>
      </c>
      <c r="G405" t="s">
        <v>52</v>
      </c>
      <c r="H405" t="s">
        <v>39</v>
      </c>
    </row>
    <row r="406" spans="1:8">
      <c r="A406" t="s">
        <v>159</v>
      </c>
      <c r="B406" t="s">
        <v>585</v>
      </c>
      <c r="C406" t="s">
        <v>37</v>
      </c>
      <c r="D406" t="s">
        <v>13</v>
      </c>
      <c r="E406" s="2">
        <v>0.66666666666666663</v>
      </c>
      <c r="F406" t="s">
        <v>584</v>
      </c>
      <c r="G406" t="s">
        <v>19</v>
      </c>
      <c r="H406" t="s">
        <v>39</v>
      </c>
    </row>
    <row r="407" spans="1:8">
      <c r="A407" t="s">
        <v>159</v>
      </c>
      <c r="B407" t="s">
        <v>585</v>
      </c>
      <c r="C407" t="s">
        <v>37</v>
      </c>
      <c r="D407" t="s">
        <v>13</v>
      </c>
      <c r="E407" s="2">
        <v>0.66666666666666663</v>
      </c>
      <c r="F407" t="s">
        <v>584</v>
      </c>
      <c r="G407" t="s">
        <v>19</v>
      </c>
      <c r="H407" t="s">
        <v>39</v>
      </c>
    </row>
    <row r="408" spans="1:8">
      <c r="A408" t="s">
        <v>250</v>
      </c>
      <c r="B408" t="s">
        <v>586</v>
      </c>
      <c r="C408" t="s">
        <v>96</v>
      </c>
      <c r="E408" s="2">
        <v>0</v>
      </c>
      <c r="F408" t="s">
        <v>587</v>
      </c>
      <c r="G408" t="s">
        <v>31</v>
      </c>
      <c r="H408" t="s">
        <v>39</v>
      </c>
    </row>
    <row r="409" spans="1:8">
      <c r="A409" t="s">
        <v>250</v>
      </c>
      <c r="B409" t="s">
        <v>586</v>
      </c>
      <c r="C409" t="s">
        <v>96</v>
      </c>
      <c r="E409" s="2">
        <v>0</v>
      </c>
      <c r="F409" t="s">
        <v>587</v>
      </c>
      <c r="G409" t="s">
        <v>31</v>
      </c>
      <c r="H409" t="s">
        <v>39</v>
      </c>
    </row>
    <row r="410" spans="1:8">
      <c r="A410" t="s">
        <v>334</v>
      </c>
      <c r="B410" t="s">
        <v>588</v>
      </c>
      <c r="C410" t="s">
        <v>112</v>
      </c>
      <c r="D410" t="s">
        <v>19</v>
      </c>
      <c r="E410" s="2">
        <v>0.79166666666666663</v>
      </c>
      <c r="F410" t="s">
        <v>587</v>
      </c>
      <c r="H410" t="s">
        <v>39</v>
      </c>
    </row>
    <row r="411" spans="1:8">
      <c r="A411" t="s">
        <v>334</v>
      </c>
      <c r="B411" t="s">
        <v>588</v>
      </c>
      <c r="C411" t="s">
        <v>112</v>
      </c>
      <c r="D411" t="s">
        <v>19</v>
      </c>
      <c r="E411" s="2">
        <v>0.79166666666666663</v>
      </c>
      <c r="F411" t="s">
        <v>587</v>
      </c>
      <c r="H411" t="s">
        <v>39</v>
      </c>
    </row>
    <row r="412" spans="1:8">
      <c r="A412" t="s">
        <v>229</v>
      </c>
      <c r="B412" t="s">
        <v>589</v>
      </c>
      <c r="C412" t="s">
        <v>27</v>
      </c>
      <c r="D412" t="s">
        <v>71</v>
      </c>
      <c r="E412" s="2">
        <v>0.91666666666666663</v>
      </c>
      <c r="F412" t="s">
        <v>587</v>
      </c>
      <c r="G412" t="s">
        <v>15</v>
      </c>
      <c r="H412" t="s">
        <v>39</v>
      </c>
    </row>
    <row r="413" spans="1:8">
      <c r="A413" t="s">
        <v>229</v>
      </c>
      <c r="B413" t="s">
        <v>589</v>
      </c>
      <c r="C413" t="s">
        <v>27</v>
      </c>
      <c r="D413" t="s">
        <v>71</v>
      </c>
      <c r="E413" s="2">
        <v>0.91666666666666663</v>
      </c>
      <c r="F413" t="s">
        <v>587</v>
      </c>
      <c r="G413" t="s">
        <v>15</v>
      </c>
      <c r="H413" t="s">
        <v>39</v>
      </c>
    </row>
    <row r="414" spans="1:8">
      <c r="A414" t="s">
        <v>536</v>
      </c>
      <c r="B414" t="s">
        <v>590</v>
      </c>
      <c r="C414" t="s">
        <v>37</v>
      </c>
      <c r="D414" t="s">
        <v>79</v>
      </c>
      <c r="E414" s="2">
        <v>0.64583333333333337</v>
      </c>
      <c r="F414" t="s">
        <v>587</v>
      </c>
      <c r="G414" t="s">
        <v>52</v>
      </c>
      <c r="H414" t="s">
        <v>39</v>
      </c>
    </row>
    <row r="415" spans="1:8">
      <c r="A415" t="s">
        <v>188</v>
      </c>
      <c r="B415" t="s">
        <v>591</v>
      </c>
      <c r="C415" t="s">
        <v>101</v>
      </c>
      <c r="D415" t="s">
        <v>19</v>
      </c>
      <c r="E415" s="1">
        <v>0.77083333333333337</v>
      </c>
      <c r="F415" t="s">
        <v>587</v>
      </c>
      <c r="G415" t="s">
        <v>31</v>
      </c>
      <c r="H415" t="s">
        <v>39</v>
      </c>
    </row>
    <row r="416" spans="1:8">
      <c r="A416" t="s">
        <v>310</v>
      </c>
      <c r="B416" t="s">
        <v>592</v>
      </c>
      <c r="C416" t="s">
        <v>37</v>
      </c>
      <c r="D416" t="s">
        <v>13</v>
      </c>
      <c r="E416" s="2">
        <v>0.33333333333333331</v>
      </c>
      <c r="F416" t="s">
        <v>587</v>
      </c>
      <c r="G416" t="s">
        <v>15</v>
      </c>
      <c r="H416" t="s">
        <v>39</v>
      </c>
    </row>
    <row r="417" spans="1:8">
      <c r="A417" t="s">
        <v>88</v>
      </c>
      <c r="B417" t="s">
        <v>593</v>
      </c>
      <c r="C417" t="s">
        <v>27</v>
      </c>
      <c r="D417" t="s">
        <v>13</v>
      </c>
      <c r="E417" s="2">
        <v>0.70833333333333337</v>
      </c>
      <c r="F417" t="s">
        <v>594</v>
      </c>
      <c r="H417" t="s">
        <v>21</v>
      </c>
    </row>
    <row r="418" spans="1:8">
      <c r="A418" t="s">
        <v>211</v>
      </c>
      <c r="B418" t="s">
        <v>595</v>
      </c>
      <c r="C418" t="s">
        <v>112</v>
      </c>
      <c r="D418" t="s">
        <v>71</v>
      </c>
      <c r="E418" s="2">
        <v>0.83333333333333337</v>
      </c>
      <c r="F418" t="s">
        <v>594</v>
      </c>
      <c r="G418" t="s">
        <v>15</v>
      </c>
      <c r="H418" t="s">
        <v>39</v>
      </c>
    </row>
    <row r="419" spans="1:8">
      <c r="A419" t="s">
        <v>88</v>
      </c>
      <c r="B419" t="s">
        <v>593</v>
      </c>
      <c r="C419" t="s">
        <v>27</v>
      </c>
      <c r="D419" t="s">
        <v>13</v>
      </c>
      <c r="E419" s="2">
        <v>0.70833333333333337</v>
      </c>
      <c r="F419" t="s">
        <v>594</v>
      </c>
      <c r="H419" t="s">
        <v>21</v>
      </c>
    </row>
    <row r="420" spans="1:8">
      <c r="A420" t="s">
        <v>114</v>
      </c>
      <c r="B420" t="s">
        <v>596</v>
      </c>
      <c r="C420" t="s">
        <v>68</v>
      </c>
      <c r="D420" t="s">
        <v>71</v>
      </c>
      <c r="E420" s="2">
        <v>0.89583333333333337</v>
      </c>
      <c r="F420" t="s">
        <v>597</v>
      </c>
      <c r="H420" t="s">
        <v>39</v>
      </c>
    </row>
    <row r="421" spans="1:8">
      <c r="A421" t="s">
        <v>598</v>
      </c>
      <c r="B421" t="s">
        <v>599</v>
      </c>
      <c r="C421" t="s">
        <v>12</v>
      </c>
      <c r="D421" t="s">
        <v>45</v>
      </c>
      <c r="E421" s="1">
        <v>0.45833333333333331</v>
      </c>
      <c r="F421" t="s">
        <v>600</v>
      </c>
      <c r="G421" t="s">
        <v>31</v>
      </c>
      <c r="H421" t="s">
        <v>39</v>
      </c>
    </row>
    <row r="422" spans="1:8">
      <c r="A422" t="s">
        <v>242</v>
      </c>
      <c r="B422" t="s">
        <v>601</v>
      </c>
      <c r="C422" t="s">
        <v>37</v>
      </c>
      <c r="D422" t="s">
        <v>13</v>
      </c>
      <c r="E422" s="2">
        <v>0.22916666666666666</v>
      </c>
      <c r="F422" t="s">
        <v>600</v>
      </c>
      <c r="H422" t="s">
        <v>39</v>
      </c>
    </row>
    <row r="423" spans="1:8">
      <c r="A423" t="s">
        <v>66</v>
      </c>
      <c r="B423" t="s">
        <v>602</v>
      </c>
      <c r="C423" t="s">
        <v>55</v>
      </c>
      <c r="D423" t="s">
        <v>79</v>
      </c>
      <c r="E423" s="2">
        <v>0.79166666666666663</v>
      </c>
      <c r="F423" t="s">
        <v>600</v>
      </c>
      <c r="G423" t="s">
        <v>31</v>
      </c>
      <c r="H423" t="s">
        <v>39</v>
      </c>
    </row>
    <row r="424" spans="1:8">
      <c r="A424" t="s">
        <v>135</v>
      </c>
      <c r="B424" t="s">
        <v>603</v>
      </c>
      <c r="C424" t="s">
        <v>112</v>
      </c>
      <c r="D424" t="s">
        <v>45</v>
      </c>
      <c r="E424" s="1">
        <v>8.3333333333333329E-2</v>
      </c>
      <c r="F424" t="s">
        <v>604</v>
      </c>
      <c r="G424" t="s">
        <v>31</v>
      </c>
      <c r="H424" t="s">
        <v>21</v>
      </c>
    </row>
    <row r="425" spans="1:8">
      <c r="A425" t="s">
        <v>121</v>
      </c>
      <c r="B425" t="s">
        <v>605</v>
      </c>
      <c r="C425" t="s">
        <v>19</v>
      </c>
      <c r="D425" t="s">
        <v>13</v>
      </c>
      <c r="E425" s="2">
        <v>2.0833333333333332E-2</v>
      </c>
      <c r="F425" t="s">
        <v>604</v>
      </c>
      <c r="G425" t="s">
        <v>15</v>
      </c>
      <c r="H425" t="s">
        <v>39</v>
      </c>
    </row>
    <row r="426" spans="1:8">
      <c r="A426" t="s">
        <v>313</v>
      </c>
      <c r="B426" t="s">
        <v>606</v>
      </c>
      <c r="C426" t="s">
        <v>78</v>
      </c>
      <c r="D426" t="s">
        <v>79</v>
      </c>
      <c r="E426" s="2">
        <v>0.45833333333333331</v>
      </c>
      <c r="F426" t="s">
        <v>604</v>
      </c>
      <c r="G426" t="s">
        <v>52</v>
      </c>
      <c r="H426" t="s">
        <v>39</v>
      </c>
    </row>
    <row r="427" spans="1:8">
      <c r="A427" t="s">
        <v>242</v>
      </c>
      <c r="B427" t="s">
        <v>607</v>
      </c>
      <c r="C427" t="s">
        <v>55</v>
      </c>
      <c r="D427" t="s">
        <v>19</v>
      </c>
      <c r="E427" s="2">
        <v>0.72916666666666663</v>
      </c>
      <c r="F427" t="s">
        <v>608</v>
      </c>
      <c r="G427" t="s">
        <v>52</v>
      </c>
      <c r="H427" t="s">
        <v>39</v>
      </c>
    </row>
    <row r="428" spans="1:8">
      <c r="A428" t="s">
        <v>237</v>
      </c>
      <c r="B428" t="s">
        <v>609</v>
      </c>
      <c r="C428" t="s">
        <v>68</v>
      </c>
      <c r="E428" s="2">
        <v>0.3125</v>
      </c>
      <c r="F428" t="s">
        <v>608</v>
      </c>
      <c r="G428" t="s">
        <v>28</v>
      </c>
      <c r="H428" t="s">
        <v>39</v>
      </c>
    </row>
    <row r="429" spans="1:8">
      <c r="A429" t="s">
        <v>133</v>
      </c>
      <c r="B429" t="s">
        <v>610</v>
      </c>
      <c r="C429" t="s">
        <v>12</v>
      </c>
      <c r="D429" t="s">
        <v>45</v>
      </c>
      <c r="E429" s="2">
        <v>0.3125</v>
      </c>
      <c r="F429" t="s">
        <v>611</v>
      </c>
      <c r="G429" t="s">
        <v>91</v>
      </c>
      <c r="H429" t="s">
        <v>39</v>
      </c>
    </row>
    <row r="430" spans="1:8">
      <c r="A430" t="s">
        <v>83</v>
      </c>
      <c r="B430" t="s">
        <v>612</v>
      </c>
      <c r="C430" t="s">
        <v>34</v>
      </c>
      <c r="D430" t="s">
        <v>50</v>
      </c>
      <c r="E430" s="2">
        <v>0.8125</v>
      </c>
      <c r="F430" t="s">
        <v>613</v>
      </c>
      <c r="H430" t="s">
        <v>39</v>
      </c>
    </row>
    <row r="431" spans="1:8">
      <c r="A431" t="s">
        <v>190</v>
      </c>
      <c r="B431" t="s">
        <v>614</v>
      </c>
      <c r="C431" t="s">
        <v>78</v>
      </c>
      <c r="D431" t="s">
        <v>45</v>
      </c>
      <c r="E431" s="2">
        <v>0.22916666666666666</v>
      </c>
      <c r="F431" t="s">
        <v>613</v>
      </c>
      <c r="G431" t="s">
        <v>52</v>
      </c>
      <c r="H431" t="s">
        <v>39</v>
      </c>
    </row>
    <row r="432" spans="1:8">
      <c r="A432" t="s">
        <v>53</v>
      </c>
      <c r="B432" t="s">
        <v>615</v>
      </c>
      <c r="C432" t="s">
        <v>78</v>
      </c>
      <c r="D432" t="s">
        <v>71</v>
      </c>
      <c r="E432" s="2">
        <v>0.77083333333333337</v>
      </c>
      <c r="F432" t="s">
        <v>613</v>
      </c>
      <c r="G432" t="s">
        <v>52</v>
      </c>
      <c r="H432" t="s">
        <v>39</v>
      </c>
    </row>
    <row r="433" spans="1:8">
      <c r="A433" t="s">
        <v>211</v>
      </c>
      <c r="B433" t="s">
        <v>616</v>
      </c>
      <c r="C433" t="s">
        <v>96</v>
      </c>
      <c r="D433" t="s">
        <v>50</v>
      </c>
      <c r="E433" s="2">
        <v>0.375</v>
      </c>
      <c r="F433" t="s">
        <v>617</v>
      </c>
      <c r="G433" t="s">
        <v>91</v>
      </c>
      <c r="H433" t="s">
        <v>39</v>
      </c>
    </row>
    <row r="434" spans="1:8">
      <c r="A434" t="s">
        <v>368</v>
      </c>
      <c r="B434" t="s">
        <v>618</v>
      </c>
      <c r="C434" t="s">
        <v>37</v>
      </c>
      <c r="D434" t="s">
        <v>71</v>
      </c>
      <c r="E434" s="1">
        <v>0.16666666666666666</v>
      </c>
      <c r="F434" t="s">
        <v>617</v>
      </c>
      <c r="G434" t="s">
        <v>91</v>
      </c>
      <c r="H434" t="s">
        <v>39</v>
      </c>
    </row>
    <row r="435" spans="1:8">
      <c r="A435" t="s">
        <v>619</v>
      </c>
      <c r="B435" t="s">
        <v>620</v>
      </c>
      <c r="C435" t="s">
        <v>96</v>
      </c>
      <c r="D435" t="s">
        <v>45</v>
      </c>
      <c r="E435" s="2">
        <v>0.45833333333333331</v>
      </c>
      <c r="F435" t="s">
        <v>621</v>
      </c>
      <c r="G435" t="s">
        <v>91</v>
      </c>
      <c r="H435" t="s">
        <v>39</v>
      </c>
    </row>
    <row r="436" spans="1:8">
      <c r="A436" t="s">
        <v>88</v>
      </c>
      <c r="B436" t="s">
        <v>622</v>
      </c>
      <c r="C436" t="s">
        <v>101</v>
      </c>
      <c r="D436" t="s">
        <v>79</v>
      </c>
      <c r="E436" s="2">
        <v>0.75</v>
      </c>
      <c r="F436" t="s">
        <v>621</v>
      </c>
      <c r="G436" t="s">
        <v>52</v>
      </c>
      <c r="H436" t="s">
        <v>21</v>
      </c>
    </row>
    <row r="437" spans="1:8">
      <c r="A437" t="s">
        <v>48</v>
      </c>
      <c r="B437" t="s">
        <v>623</v>
      </c>
      <c r="C437" t="s">
        <v>37</v>
      </c>
      <c r="D437" t="s">
        <v>71</v>
      </c>
      <c r="E437" s="2">
        <v>0.375</v>
      </c>
      <c r="F437" t="s">
        <v>624</v>
      </c>
      <c r="G437" t="s">
        <v>19</v>
      </c>
      <c r="H437" t="s">
        <v>39</v>
      </c>
    </row>
    <row r="438" spans="1:8">
      <c r="A438" t="s">
        <v>173</v>
      </c>
      <c r="B438" t="s">
        <v>625</v>
      </c>
      <c r="C438" t="s">
        <v>68</v>
      </c>
      <c r="D438" t="s">
        <v>19</v>
      </c>
      <c r="E438" s="2">
        <v>0.16666666666666666</v>
      </c>
      <c r="F438" t="s">
        <v>624</v>
      </c>
      <c r="G438" t="s">
        <v>91</v>
      </c>
      <c r="H438" t="s">
        <v>39</v>
      </c>
    </row>
    <row r="439" spans="1:8">
      <c r="A439" t="s">
        <v>88</v>
      </c>
      <c r="B439" t="s">
        <v>626</v>
      </c>
      <c r="C439" t="s">
        <v>112</v>
      </c>
      <c r="D439" t="s">
        <v>71</v>
      </c>
      <c r="E439" s="1">
        <v>0.70833333333333337</v>
      </c>
      <c r="F439" t="s">
        <v>624</v>
      </c>
      <c r="H439" t="s">
        <v>39</v>
      </c>
    </row>
    <row r="440" spans="1:8">
      <c r="A440" t="s">
        <v>110</v>
      </c>
      <c r="B440" t="s">
        <v>627</v>
      </c>
      <c r="C440" t="s">
        <v>37</v>
      </c>
      <c r="D440" t="s">
        <v>45</v>
      </c>
      <c r="E440" s="1">
        <v>0.22916666666666666</v>
      </c>
      <c r="F440" t="s">
        <v>628</v>
      </c>
      <c r="G440" t="s">
        <v>15</v>
      </c>
      <c r="H440" t="s">
        <v>39</v>
      </c>
    </row>
    <row r="441" spans="1:8">
      <c r="A441" t="s">
        <v>110</v>
      </c>
      <c r="B441" t="s">
        <v>627</v>
      </c>
      <c r="C441" t="s">
        <v>37</v>
      </c>
      <c r="D441" t="s">
        <v>45</v>
      </c>
      <c r="E441" s="1">
        <v>0.22916666666666666</v>
      </c>
      <c r="F441" t="s">
        <v>628</v>
      </c>
      <c r="G441" t="s">
        <v>15</v>
      </c>
      <c r="H441" t="s">
        <v>39</v>
      </c>
    </row>
    <row r="442" spans="1:8">
      <c r="A442" t="s">
        <v>159</v>
      </c>
      <c r="B442" t="s">
        <v>629</v>
      </c>
      <c r="C442" t="s">
        <v>96</v>
      </c>
      <c r="D442" t="s">
        <v>71</v>
      </c>
      <c r="E442" s="2">
        <v>0.25</v>
      </c>
      <c r="F442" t="s">
        <v>628</v>
      </c>
      <c r="G442" t="s">
        <v>28</v>
      </c>
      <c r="H442" t="s">
        <v>39</v>
      </c>
    </row>
    <row r="443" spans="1:8">
      <c r="A443" t="s">
        <v>396</v>
      </c>
      <c r="B443" t="s">
        <v>630</v>
      </c>
      <c r="C443" t="s">
        <v>96</v>
      </c>
      <c r="D443" t="s">
        <v>50</v>
      </c>
      <c r="E443" s="2">
        <v>0.875</v>
      </c>
      <c r="F443" t="s">
        <v>631</v>
      </c>
      <c r="G443" t="s">
        <v>19</v>
      </c>
      <c r="H443" t="s">
        <v>39</v>
      </c>
    </row>
    <row r="444" spans="1:8">
      <c r="A444" t="s">
        <v>632</v>
      </c>
      <c r="B444" t="s">
        <v>633</v>
      </c>
      <c r="C444" t="s">
        <v>37</v>
      </c>
      <c r="D444" t="s">
        <v>50</v>
      </c>
      <c r="E444" s="1">
        <v>0.375</v>
      </c>
      <c r="F444" t="s">
        <v>631</v>
      </c>
      <c r="G444" t="s">
        <v>15</v>
      </c>
      <c r="H444" t="s">
        <v>21</v>
      </c>
    </row>
    <row r="445" spans="1:8">
      <c r="A445" t="s">
        <v>155</v>
      </c>
      <c r="B445" t="s">
        <v>634</v>
      </c>
      <c r="C445" t="s">
        <v>112</v>
      </c>
      <c r="D445" t="s">
        <v>79</v>
      </c>
      <c r="E445" s="1">
        <v>0.20833333333333334</v>
      </c>
      <c r="F445" t="s">
        <v>635</v>
      </c>
      <c r="G445" t="s">
        <v>52</v>
      </c>
      <c r="H445" t="s">
        <v>39</v>
      </c>
    </row>
    <row r="446" spans="1:8">
      <c r="A446" t="s">
        <v>155</v>
      </c>
      <c r="B446" t="s">
        <v>634</v>
      </c>
      <c r="C446" t="s">
        <v>112</v>
      </c>
      <c r="D446" t="s">
        <v>79</v>
      </c>
      <c r="E446" s="1">
        <v>0.20833333333333334</v>
      </c>
      <c r="F446" t="s">
        <v>635</v>
      </c>
      <c r="G446" t="s">
        <v>52</v>
      </c>
      <c r="H446" t="s">
        <v>39</v>
      </c>
    </row>
    <row r="447" spans="1:8">
      <c r="A447" t="s">
        <v>76</v>
      </c>
      <c r="B447" t="s">
        <v>636</v>
      </c>
      <c r="D447" t="s">
        <v>45</v>
      </c>
      <c r="E447" s="1">
        <v>0.45833333333333331</v>
      </c>
      <c r="F447" t="s">
        <v>635</v>
      </c>
      <c r="G447" t="s">
        <v>15</v>
      </c>
      <c r="H447" t="s">
        <v>39</v>
      </c>
    </row>
    <row r="448" spans="1:8">
      <c r="A448" t="s">
        <v>92</v>
      </c>
      <c r="B448" t="s">
        <v>637</v>
      </c>
      <c r="C448" t="s">
        <v>78</v>
      </c>
      <c r="D448" t="s">
        <v>79</v>
      </c>
      <c r="E448" s="2">
        <v>0.5625</v>
      </c>
      <c r="F448" t="s">
        <v>635</v>
      </c>
      <c r="H448" t="s">
        <v>39</v>
      </c>
    </row>
    <row r="449" spans="1:8">
      <c r="A449" t="s">
        <v>211</v>
      </c>
      <c r="B449" t="s">
        <v>638</v>
      </c>
      <c r="C449" t="s">
        <v>55</v>
      </c>
      <c r="E449" s="1">
        <v>0.85416666666666663</v>
      </c>
      <c r="F449" t="s">
        <v>639</v>
      </c>
      <c r="G449" t="s">
        <v>52</v>
      </c>
      <c r="H449" t="s">
        <v>39</v>
      </c>
    </row>
    <row r="450" spans="1:8">
      <c r="A450" t="s">
        <v>366</v>
      </c>
      <c r="B450" t="s">
        <v>640</v>
      </c>
      <c r="C450" t="s">
        <v>78</v>
      </c>
      <c r="D450" t="s">
        <v>79</v>
      </c>
      <c r="E450" s="2">
        <v>2.0833333333333332E-2</v>
      </c>
      <c r="F450" t="s">
        <v>641</v>
      </c>
      <c r="G450" t="s">
        <v>19</v>
      </c>
      <c r="H450" t="s">
        <v>39</v>
      </c>
    </row>
    <row r="451" spans="1:8">
      <c r="A451" t="s">
        <v>205</v>
      </c>
      <c r="B451" t="s">
        <v>642</v>
      </c>
      <c r="C451" t="s">
        <v>101</v>
      </c>
      <c r="D451" t="s">
        <v>19</v>
      </c>
      <c r="E451" s="2">
        <v>0.60416666666666663</v>
      </c>
      <c r="F451" t="s">
        <v>641</v>
      </c>
      <c r="G451" t="s">
        <v>91</v>
      </c>
      <c r="H451" t="s">
        <v>39</v>
      </c>
    </row>
    <row r="452" spans="1:8">
      <c r="A452" t="s">
        <v>366</v>
      </c>
      <c r="B452" t="s">
        <v>640</v>
      </c>
      <c r="C452" t="s">
        <v>78</v>
      </c>
      <c r="D452" t="s">
        <v>79</v>
      </c>
      <c r="E452" s="2">
        <v>2.0833333333333332E-2</v>
      </c>
      <c r="F452" t="s">
        <v>641</v>
      </c>
      <c r="G452" t="s">
        <v>19</v>
      </c>
      <c r="H452" t="s">
        <v>39</v>
      </c>
    </row>
    <row r="453" spans="1:8">
      <c r="A453" t="s">
        <v>159</v>
      </c>
      <c r="B453" t="s">
        <v>643</v>
      </c>
      <c r="C453" t="s">
        <v>27</v>
      </c>
      <c r="D453" t="s">
        <v>45</v>
      </c>
      <c r="E453" s="1">
        <v>0.47916666666666669</v>
      </c>
      <c r="F453" t="s">
        <v>644</v>
      </c>
      <c r="G453" t="s">
        <v>28</v>
      </c>
      <c r="H453" t="s">
        <v>39</v>
      </c>
    </row>
    <row r="454" spans="1:8">
      <c r="A454" t="s">
        <v>59</v>
      </c>
      <c r="B454" t="s">
        <v>645</v>
      </c>
      <c r="C454" t="s">
        <v>78</v>
      </c>
      <c r="D454" t="s">
        <v>71</v>
      </c>
      <c r="E454" s="1">
        <v>0.89583333333333337</v>
      </c>
      <c r="F454" t="s">
        <v>644</v>
      </c>
      <c r="G454" t="s">
        <v>28</v>
      </c>
      <c r="H454" t="s">
        <v>39</v>
      </c>
    </row>
    <row r="455" spans="1:8">
      <c r="A455" t="s">
        <v>64</v>
      </c>
      <c r="B455" t="s">
        <v>646</v>
      </c>
      <c r="C455" t="s">
        <v>34</v>
      </c>
      <c r="D455" t="s">
        <v>71</v>
      </c>
      <c r="E455" s="2">
        <v>8.3333333333333329E-2</v>
      </c>
      <c r="F455" t="s">
        <v>644</v>
      </c>
      <c r="G455" t="s">
        <v>52</v>
      </c>
      <c r="H455" t="s">
        <v>39</v>
      </c>
    </row>
    <row r="456" spans="1:8">
      <c r="A456" t="s">
        <v>368</v>
      </c>
      <c r="B456" t="s">
        <v>647</v>
      </c>
      <c r="C456" t="s">
        <v>78</v>
      </c>
      <c r="D456" t="s">
        <v>45</v>
      </c>
      <c r="E456" s="1">
        <v>0.60416666666666663</v>
      </c>
      <c r="F456" t="s">
        <v>648</v>
      </c>
      <c r="G456" t="s">
        <v>28</v>
      </c>
      <c r="H456" t="s">
        <v>39</v>
      </c>
    </row>
    <row r="457" spans="1:8">
      <c r="A457" t="s">
        <v>313</v>
      </c>
      <c r="B457" t="s">
        <v>649</v>
      </c>
      <c r="C457" t="s">
        <v>101</v>
      </c>
      <c r="D457" t="s">
        <v>19</v>
      </c>
      <c r="E457" s="2">
        <v>0.83333333333333337</v>
      </c>
      <c r="F457" t="s">
        <v>648</v>
      </c>
      <c r="G457" t="s">
        <v>52</v>
      </c>
      <c r="H457" t="s">
        <v>39</v>
      </c>
    </row>
    <row r="458" spans="1:8">
      <c r="A458" t="s">
        <v>598</v>
      </c>
      <c r="B458" t="s">
        <v>650</v>
      </c>
      <c r="C458" t="s">
        <v>96</v>
      </c>
      <c r="E458" s="1">
        <v>0.60416666666666663</v>
      </c>
      <c r="F458" t="s">
        <v>648</v>
      </c>
      <c r="G458" t="s">
        <v>52</v>
      </c>
      <c r="H458" t="s">
        <v>39</v>
      </c>
    </row>
    <row r="459" spans="1:8">
      <c r="A459" t="s">
        <v>59</v>
      </c>
      <c r="B459" t="s">
        <v>651</v>
      </c>
      <c r="C459" t="s">
        <v>12</v>
      </c>
      <c r="D459" t="s">
        <v>19</v>
      </c>
      <c r="E459" s="2">
        <v>0.625</v>
      </c>
      <c r="F459" t="s">
        <v>652</v>
      </c>
      <c r="G459" t="s">
        <v>52</v>
      </c>
      <c r="H459" t="s">
        <v>39</v>
      </c>
    </row>
    <row r="460" spans="1:8">
      <c r="A460" t="s">
        <v>393</v>
      </c>
      <c r="B460" t="s">
        <v>653</v>
      </c>
      <c r="C460" t="s">
        <v>34</v>
      </c>
      <c r="D460" t="s">
        <v>19</v>
      </c>
      <c r="E460" s="1">
        <v>0.70833333333333337</v>
      </c>
      <c r="F460" t="s">
        <v>652</v>
      </c>
      <c r="H460" t="s">
        <v>39</v>
      </c>
    </row>
    <row r="461" spans="1:8">
      <c r="A461" t="s">
        <v>393</v>
      </c>
      <c r="B461" t="s">
        <v>653</v>
      </c>
      <c r="C461" t="s">
        <v>34</v>
      </c>
      <c r="D461" t="s">
        <v>19</v>
      </c>
      <c r="E461" s="1">
        <v>0.70833333333333337</v>
      </c>
      <c r="F461" t="s">
        <v>652</v>
      </c>
      <c r="H461" t="s">
        <v>39</v>
      </c>
    </row>
    <row r="462" spans="1:8">
      <c r="A462" t="s">
        <v>619</v>
      </c>
      <c r="B462" t="s">
        <v>654</v>
      </c>
      <c r="C462" t="s">
        <v>78</v>
      </c>
      <c r="D462" t="s">
        <v>79</v>
      </c>
      <c r="E462" s="1">
        <v>0.125</v>
      </c>
      <c r="F462" t="s">
        <v>652</v>
      </c>
      <c r="G462" t="s">
        <v>31</v>
      </c>
      <c r="H462" t="s">
        <v>39</v>
      </c>
    </row>
    <row r="463" spans="1:8">
      <c r="A463" t="s">
        <v>366</v>
      </c>
      <c r="B463" t="s">
        <v>655</v>
      </c>
      <c r="C463" t="s">
        <v>27</v>
      </c>
      <c r="D463" t="s">
        <v>50</v>
      </c>
      <c r="E463" s="1">
        <v>0.64583333333333337</v>
      </c>
      <c r="F463" t="s">
        <v>652</v>
      </c>
      <c r="G463" t="s">
        <v>28</v>
      </c>
      <c r="H463" t="s">
        <v>39</v>
      </c>
    </row>
    <row r="464" spans="1:8">
      <c r="A464" t="s">
        <v>389</v>
      </c>
      <c r="B464" t="s">
        <v>656</v>
      </c>
      <c r="C464" t="s">
        <v>96</v>
      </c>
      <c r="E464" s="1">
        <v>0.27083333333333331</v>
      </c>
      <c r="F464" t="s">
        <v>657</v>
      </c>
      <c r="G464" t="s">
        <v>15</v>
      </c>
      <c r="H464" t="s">
        <v>39</v>
      </c>
    </row>
    <row r="465" spans="1:8">
      <c r="A465" t="s">
        <v>389</v>
      </c>
      <c r="B465" t="s">
        <v>656</v>
      </c>
      <c r="C465" t="s">
        <v>96</v>
      </c>
      <c r="E465" s="1">
        <v>0.27083333333333331</v>
      </c>
      <c r="F465" t="s">
        <v>657</v>
      </c>
      <c r="G465" t="s">
        <v>15</v>
      </c>
      <c r="H465" t="s">
        <v>39</v>
      </c>
    </row>
    <row r="466" spans="1:8">
      <c r="A466" t="s">
        <v>168</v>
      </c>
      <c r="B466" t="s">
        <v>658</v>
      </c>
      <c r="C466" t="s">
        <v>112</v>
      </c>
      <c r="D466" t="s">
        <v>19</v>
      </c>
      <c r="E466" s="1">
        <v>0.66666666666666663</v>
      </c>
      <c r="F466" t="s">
        <v>657</v>
      </c>
      <c r="G466" t="s">
        <v>19</v>
      </c>
      <c r="H466" t="s">
        <v>39</v>
      </c>
    </row>
    <row r="467" spans="1:8">
      <c r="A467" t="s">
        <v>69</v>
      </c>
      <c r="B467" t="s">
        <v>659</v>
      </c>
      <c r="C467" t="s">
        <v>55</v>
      </c>
      <c r="D467" t="s">
        <v>79</v>
      </c>
      <c r="E467" s="1">
        <v>0.4375</v>
      </c>
      <c r="F467" t="s">
        <v>660</v>
      </c>
      <c r="G467" t="s">
        <v>52</v>
      </c>
      <c r="H467" t="s">
        <v>39</v>
      </c>
    </row>
    <row r="468" spans="1:8">
      <c r="A468" t="s">
        <v>416</v>
      </c>
      <c r="B468" t="s">
        <v>661</v>
      </c>
      <c r="E468" s="2">
        <v>0.60416666666666663</v>
      </c>
      <c r="F468" t="s">
        <v>660</v>
      </c>
      <c r="G468" t="s">
        <v>52</v>
      </c>
      <c r="H468" t="s">
        <v>39</v>
      </c>
    </row>
    <row r="469" spans="1:8">
      <c r="A469" t="s">
        <v>207</v>
      </c>
      <c r="B469" t="s">
        <v>662</v>
      </c>
      <c r="C469" t="s">
        <v>68</v>
      </c>
      <c r="D469" t="s">
        <v>71</v>
      </c>
      <c r="E469" s="1">
        <v>0.10416666666666667</v>
      </c>
      <c r="F469" t="s">
        <v>663</v>
      </c>
      <c r="G469" t="s">
        <v>15</v>
      </c>
      <c r="H469" t="s">
        <v>39</v>
      </c>
    </row>
    <row r="470" spans="1:8">
      <c r="A470" t="s">
        <v>164</v>
      </c>
      <c r="B470" t="s">
        <v>664</v>
      </c>
      <c r="C470" t="s">
        <v>68</v>
      </c>
      <c r="D470" t="s">
        <v>45</v>
      </c>
      <c r="E470" s="1">
        <v>0.52083333333333337</v>
      </c>
      <c r="F470" t="s">
        <v>663</v>
      </c>
      <c r="H470" t="s">
        <v>39</v>
      </c>
    </row>
    <row r="471" spans="1:8">
      <c r="A471" t="s">
        <v>207</v>
      </c>
      <c r="B471" t="s">
        <v>662</v>
      </c>
      <c r="C471" t="s">
        <v>68</v>
      </c>
      <c r="D471" t="s">
        <v>71</v>
      </c>
      <c r="E471" s="1">
        <v>0.10416666666666667</v>
      </c>
      <c r="F471" t="s">
        <v>663</v>
      </c>
      <c r="G471" t="s">
        <v>15</v>
      </c>
      <c r="H471" t="s">
        <v>39</v>
      </c>
    </row>
    <row r="472" spans="1:8">
      <c r="A472" t="s">
        <v>168</v>
      </c>
      <c r="B472" t="s">
        <v>665</v>
      </c>
      <c r="C472" t="s">
        <v>37</v>
      </c>
      <c r="E472" s="1">
        <v>0.25</v>
      </c>
      <c r="F472" t="s">
        <v>663</v>
      </c>
      <c r="G472" t="s">
        <v>15</v>
      </c>
      <c r="H472" t="s">
        <v>39</v>
      </c>
    </row>
    <row r="473" spans="1:8">
      <c r="A473" t="s">
        <v>214</v>
      </c>
      <c r="B473" t="s">
        <v>666</v>
      </c>
      <c r="D473" t="s">
        <v>50</v>
      </c>
      <c r="E473" s="1">
        <v>0.3125</v>
      </c>
      <c r="F473" t="s">
        <v>663</v>
      </c>
      <c r="G473" t="s">
        <v>28</v>
      </c>
      <c r="H473" t="s">
        <v>39</v>
      </c>
    </row>
    <row r="474" spans="1:8">
      <c r="A474" t="s">
        <v>164</v>
      </c>
      <c r="B474" t="s">
        <v>664</v>
      </c>
      <c r="C474" t="s">
        <v>68</v>
      </c>
      <c r="D474" t="s">
        <v>45</v>
      </c>
      <c r="E474" s="1">
        <v>0.52083333333333337</v>
      </c>
      <c r="F474" t="s">
        <v>663</v>
      </c>
      <c r="H474" t="s">
        <v>39</v>
      </c>
    </row>
    <row r="475" spans="1:8">
      <c r="A475" t="s">
        <v>22</v>
      </c>
      <c r="B475" t="s">
        <v>667</v>
      </c>
      <c r="C475" t="s">
        <v>19</v>
      </c>
      <c r="D475" t="s">
        <v>50</v>
      </c>
      <c r="E475" s="1">
        <v>0.72916666666666663</v>
      </c>
      <c r="F475" t="s">
        <v>663</v>
      </c>
      <c r="H475" t="s">
        <v>39</v>
      </c>
    </row>
    <row r="476" spans="1:8">
      <c r="A476" t="s">
        <v>632</v>
      </c>
      <c r="B476" t="s">
        <v>668</v>
      </c>
      <c r="C476" t="s">
        <v>101</v>
      </c>
      <c r="D476" t="s">
        <v>50</v>
      </c>
      <c r="E476" s="2">
        <v>2.0833333333333332E-2</v>
      </c>
      <c r="F476" t="s">
        <v>663</v>
      </c>
      <c r="G476" t="s">
        <v>52</v>
      </c>
      <c r="H476" t="s">
        <v>39</v>
      </c>
    </row>
    <row r="477" spans="1:8">
      <c r="A477" t="s">
        <v>35</v>
      </c>
      <c r="B477" t="s">
        <v>669</v>
      </c>
      <c r="C477" t="s">
        <v>19</v>
      </c>
      <c r="E477" s="2">
        <v>0.91666666666666663</v>
      </c>
      <c r="F477" t="s">
        <v>670</v>
      </c>
      <c r="G477" t="s">
        <v>31</v>
      </c>
      <c r="H477" t="s">
        <v>39</v>
      </c>
    </row>
    <row r="478" spans="1:8">
      <c r="A478" t="s">
        <v>202</v>
      </c>
      <c r="B478" t="s">
        <v>671</v>
      </c>
      <c r="C478" t="s">
        <v>19</v>
      </c>
      <c r="D478" t="s">
        <v>79</v>
      </c>
      <c r="E478" s="2">
        <v>0.5</v>
      </c>
      <c r="F478" t="s">
        <v>670</v>
      </c>
      <c r="G478" t="s">
        <v>31</v>
      </c>
      <c r="H478" t="s">
        <v>39</v>
      </c>
    </row>
    <row r="479" spans="1:8">
      <c r="A479" t="s">
        <v>69</v>
      </c>
      <c r="B479" t="s">
        <v>672</v>
      </c>
      <c r="C479" t="s">
        <v>12</v>
      </c>
      <c r="D479" t="s">
        <v>50</v>
      </c>
      <c r="E479" s="1">
        <v>0</v>
      </c>
      <c r="F479" t="s">
        <v>673</v>
      </c>
      <c r="G479" t="s">
        <v>15</v>
      </c>
      <c r="H479" t="s">
        <v>39</v>
      </c>
    </row>
    <row r="480" spans="1:8">
      <c r="A480" t="s">
        <v>183</v>
      </c>
      <c r="B480" t="s">
        <v>674</v>
      </c>
      <c r="C480" t="s">
        <v>37</v>
      </c>
      <c r="D480" t="s">
        <v>13</v>
      </c>
      <c r="E480" s="1">
        <v>0.875</v>
      </c>
      <c r="F480" t="s">
        <v>673</v>
      </c>
      <c r="G480" t="s">
        <v>15</v>
      </c>
      <c r="H480" t="s">
        <v>39</v>
      </c>
    </row>
    <row r="481" spans="1:8">
      <c r="A481" t="s">
        <v>366</v>
      </c>
      <c r="B481" t="s">
        <v>675</v>
      </c>
      <c r="C481" t="s">
        <v>68</v>
      </c>
      <c r="D481" t="s">
        <v>13</v>
      </c>
      <c r="E481" s="2">
        <v>0.35416666666666669</v>
      </c>
      <c r="F481" t="s">
        <v>676</v>
      </c>
      <c r="G481" t="s">
        <v>19</v>
      </c>
      <c r="H481" t="s">
        <v>39</v>
      </c>
    </row>
    <row r="482" spans="1:8">
      <c r="A482" t="s">
        <v>48</v>
      </c>
      <c r="B482" t="s">
        <v>677</v>
      </c>
      <c r="C482" t="s">
        <v>27</v>
      </c>
      <c r="D482" t="s">
        <v>79</v>
      </c>
      <c r="E482" s="2">
        <v>0.14583333333333334</v>
      </c>
      <c r="F482" t="s">
        <v>676</v>
      </c>
      <c r="G482" t="s">
        <v>28</v>
      </c>
      <c r="H482" t="s">
        <v>39</v>
      </c>
    </row>
    <row r="483" spans="1:8">
      <c r="A483" t="s">
        <v>190</v>
      </c>
      <c r="B483" t="s">
        <v>678</v>
      </c>
      <c r="C483" t="s">
        <v>78</v>
      </c>
      <c r="D483" t="s">
        <v>79</v>
      </c>
      <c r="E483" s="1">
        <v>0.33333333333333331</v>
      </c>
      <c r="F483" t="s">
        <v>679</v>
      </c>
      <c r="G483" t="s">
        <v>15</v>
      </c>
      <c r="H483" t="s">
        <v>39</v>
      </c>
    </row>
    <row r="484" spans="1:8">
      <c r="A484" t="s">
        <v>168</v>
      </c>
      <c r="B484" t="s">
        <v>680</v>
      </c>
      <c r="C484" t="s">
        <v>101</v>
      </c>
      <c r="D484" t="s">
        <v>71</v>
      </c>
      <c r="E484" s="1">
        <v>0.47916666666666669</v>
      </c>
      <c r="F484" t="s">
        <v>679</v>
      </c>
      <c r="H484" t="s">
        <v>39</v>
      </c>
    </row>
    <row r="485" spans="1:8">
      <c r="A485" t="s">
        <v>190</v>
      </c>
      <c r="B485" t="s">
        <v>678</v>
      </c>
      <c r="C485" t="s">
        <v>78</v>
      </c>
      <c r="D485" t="s">
        <v>79</v>
      </c>
      <c r="E485" s="1">
        <v>0.33333333333333331</v>
      </c>
      <c r="F485" t="s">
        <v>679</v>
      </c>
      <c r="G485" t="s">
        <v>15</v>
      </c>
      <c r="H485" t="s">
        <v>39</v>
      </c>
    </row>
    <row r="486" spans="1:8">
      <c r="A486" t="s">
        <v>40</v>
      </c>
      <c r="B486" t="s">
        <v>681</v>
      </c>
      <c r="C486" t="s">
        <v>34</v>
      </c>
      <c r="D486" t="s">
        <v>50</v>
      </c>
      <c r="E486" s="1">
        <v>0.54166666666666663</v>
      </c>
      <c r="F486" t="s">
        <v>679</v>
      </c>
      <c r="H486" t="s">
        <v>39</v>
      </c>
    </row>
    <row r="487" spans="1:8">
      <c r="A487" t="s">
        <v>114</v>
      </c>
      <c r="B487" t="s">
        <v>682</v>
      </c>
      <c r="C487" t="s">
        <v>27</v>
      </c>
      <c r="D487" t="s">
        <v>45</v>
      </c>
      <c r="E487" s="2">
        <v>0.58333333333333337</v>
      </c>
      <c r="F487" t="s">
        <v>683</v>
      </c>
      <c r="G487" t="s">
        <v>19</v>
      </c>
      <c r="H487" t="s">
        <v>39</v>
      </c>
    </row>
    <row r="488" spans="1:8">
      <c r="A488" t="s">
        <v>138</v>
      </c>
      <c r="B488" t="s">
        <v>684</v>
      </c>
      <c r="C488" t="s">
        <v>112</v>
      </c>
      <c r="D488" t="s">
        <v>13</v>
      </c>
      <c r="E488" s="1">
        <v>0.33333333333333331</v>
      </c>
      <c r="F488" t="s">
        <v>683</v>
      </c>
      <c r="G488" t="s">
        <v>19</v>
      </c>
      <c r="H488" t="s">
        <v>39</v>
      </c>
    </row>
    <row r="489" spans="1:8">
      <c r="A489" t="s">
        <v>190</v>
      </c>
      <c r="B489" t="s">
        <v>685</v>
      </c>
      <c r="E489" s="1">
        <v>0.47916666666666669</v>
      </c>
      <c r="F489" t="s">
        <v>686</v>
      </c>
      <c r="G489" t="s">
        <v>15</v>
      </c>
      <c r="H489" t="s">
        <v>21</v>
      </c>
    </row>
    <row r="490" spans="1:8">
      <c r="A490" t="s">
        <v>197</v>
      </c>
      <c r="B490" t="s">
        <v>687</v>
      </c>
      <c r="C490" t="s">
        <v>112</v>
      </c>
      <c r="D490" t="s">
        <v>50</v>
      </c>
      <c r="E490" s="2">
        <v>0.91666666666666663</v>
      </c>
      <c r="F490" t="s">
        <v>686</v>
      </c>
      <c r="G490" t="s">
        <v>28</v>
      </c>
      <c r="H490" t="s">
        <v>39</v>
      </c>
    </row>
    <row r="491" spans="1:8">
      <c r="A491" t="s">
        <v>92</v>
      </c>
      <c r="B491" t="s">
        <v>688</v>
      </c>
      <c r="C491" t="s">
        <v>27</v>
      </c>
      <c r="E491" s="2">
        <v>0.16666666666666666</v>
      </c>
      <c r="F491" t="s">
        <v>686</v>
      </c>
      <c r="H491" t="s">
        <v>39</v>
      </c>
    </row>
    <row r="492" spans="1:8">
      <c r="A492" t="s">
        <v>114</v>
      </c>
      <c r="B492" t="s">
        <v>689</v>
      </c>
      <c r="C492" t="s">
        <v>112</v>
      </c>
      <c r="D492" t="s">
        <v>45</v>
      </c>
      <c r="E492" s="1">
        <v>0.58333333333333337</v>
      </c>
      <c r="F492" t="s">
        <v>690</v>
      </c>
      <c r="G492" t="s">
        <v>15</v>
      </c>
      <c r="H492" t="s">
        <v>39</v>
      </c>
    </row>
    <row r="493" spans="1:8">
      <c r="A493" t="s">
        <v>183</v>
      </c>
      <c r="B493" t="s">
        <v>691</v>
      </c>
      <c r="C493" t="s">
        <v>96</v>
      </c>
      <c r="D493" t="s">
        <v>19</v>
      </c>
      <c r="E493" s="2">
        <v>0.20833333333333334</v>
      </c>
      <c r="F493" t="s">
        <v>690</v>
      </c>
      <c r="G493" t="s">
        <v>91</v>
      </c>
      <c r="H493" t="s">
        <v>39</v>
      </c>
    </row>
    <row r="494" spans="1:8">
      <c r="A494" t="s">
        <v>507</v>
      </c>
      <c r="B494" t="s">
        <v>692</v>
      </c>
      <c r="D494" t="s">
        <v>45</v>
      </c>
      <c r="E494" s="1">
        <v>0.85416666666666663</v>
      </c>
      <c r="F494" t="s">
        <v>690</v>
      </c>
      <c r="G494" t="s">
        <v>31</v>
      </c>
      <c r="H494" t="s">
        <v>39</v>
      </c>
    </row>
    <row r="495" spans="1:8">
      <c r="A495" t="s">
        <v>29</v>
      </c>
      <c r="B495" t="s">
        <v>693</v>
      </c>
      <c r="C495" t="s">
        <v>101</v>
      </c>
      <c r="D495" t="s">
        <v>13</v>
      </c>
      <c r="E495" s="1">
        <v>0.77083333333333337</v>
      </c>
      <c r="F495" t="s">
        <v>694</v>
      </c>
      <c r="G495" t="s">
        <v>15</v>
      </c>
      <c r="H495" t="s">
        <v>39</v>
      </c>
    </row>
    <row r="496" spans="1:8">
      <c r="A496" t="s">
        <v>29</v>
      </c>
      <c r="B496" t="s">
        <v>693</v>
      </c>
      <c r="C496" t="s">
        <v>101</v>
      </c>
      <c r="D496" t="s">
        <v>13</v>
      </c>
      <c r="E496" s="1">
        <v>0.77083333333333337</v>
      </c>
      <c r="F496" t="s">
        <v>694</v>
      </c>
      <c r="G496" t="s">
        <v>15</v>
      </c>
      <c r="H496" t="s">
        <v>39</v>
      </c>
    </row>
    <row r="497" spans="1:8">
      <c r="A497" t="s">
        <v>307</v>
      </c>
      <c r="B497" t="s">
        <v>695</v>
      </c>
      <c r="C497" t="s">
        <v>96</v>
      </c>
      <c r="D497" t="s">
        <v>50</v>
      </c>
      <c r="E497" s="1">
        <v>0.75</v>
      </c>
      <c r="F497" t="s">
        <v>694</v>
      </c>
      <c r="G497" t="s">
        <v>52</v>
      </c>
      <c r="H497" t="s">
        <v>39</v>
      </c>
    </row>
    <row r="498" spans="1:8">
      <c r="A498" t="s">
        <v>310</v>
      </c>
      <c r="B498" t="s">
        <v>696</v>
      </c>
      <c r="C498" t="s">
        <v>12</v>
      </c>
      <c r="D498" t="s">
        <v>45</v>
      </c>
      <c r="E498" s="1">
        <v>0.47916666666666669</v>
      </c>
      <c r="F498" t="s">
        <v>697</v>
      </c>
      <c r="G498" t="s">
        <v>31</v>
      </c>
      <c r="H498" t="s">
        <v>39</v>
      </c>
    </row>
    <row r="499" spans="1:8">
      <c r="A499" t="s">
        <v>127</v>
      </c>
      <c r="B499" t="s">
        <v>698</v>
      </c>
      <c r="D499" t="s">
        <v>79</v>
      </c>
      <c r="E499" s="1">
        <v>0.5625</v>
      </c>
      <c r="F499" t="s">
        <v>697</v>
      </c>
      <c r="G499" t="s">
        <v>19</v>
      </c>
      <c r="H499" t="s">
        <v>39</v>
      </c>
    </row>
    <row r="500" spans="1:8">
      <c r="A500" t="s">
        <v>127</v>
      </c>
      <c r="B500" t="s">
        <v>698</v>
      </c>
      <c r="D500" t="s">
        <v>79</v>
      </c>
      <c r="E500" s="1">
        <v>0.5625</v>
      </c>
      <c r="F500" t="s">
        <v>697</v>
      </c>
      <c r="G500" t="s">
        <v>19</v>
      </c>
      <c r="H500" t="s">
        <v>39</v>
      </c>
    </row>
    <row r="501" spans="1:8">
      <c r="A501" t="s">
        <v>119</v>
      </c>
      <c r="B501" t="s">
        <v>699</v>
      </c>
      <c r="E501" s="1">
        <v>0.4375</v>
      </c>
      <c r="F501" t="s">
        <v>700</v>
      </c>
      <c r="G501" t="s">
        <v>52</v>
      </c>
      <c r="H501" t="s">
        <v>39</v>
      </c>
    </row>
    <row r="502" spans="1:8">
      <c r="A502" t="s">
        <v>121</v>
      </c>
      <c r="B502" t="s">
        <v>701</v>
      </c>
      <c r="C502" t="s">
        <v>101</v>
      </c>
      <c r="E502" s="1">
        <v>0.83333333333333337</v>
      </c>
      <c r="F502" t="s">
        <v>700</v>
      </c>
      <c r="G502" t="s">
        <v>91</v>
      </c>
      <c r="H502" t="s">
        <v>39</v>
      </c>
    </row>
    <row r="503" spans="1:8">
      <c r="A503" t="s">
        <v>48</v>
      </c>
      <c r="B503" t="s">
        <v>702</v>
      </c>
      <c r="C503" t="s">
        <v>96</v>
      </c>
      <c r="D503" t="s">
        <v>50</v>
      </c>
      <c r="E503" s="2">
        <v>0.16666666666666666</v>
      </c>
      <c r="F503" t="s">
        <v>700</v>
      </c>
      <c r="G503" t="s">
        <v>31</v>
      </c>
      <c r="H503" t="s">
        <v>39</v>
      </c>
    </row>
    <row r="504" spans="1:8">
      <c r="A504" t="s">
        <v>494</v>
      </c>
      <c r="B504" t="s">
        <v>703</v>
      </c>
      <c r="C504" t="s">
        <v>101</v>
      </c>
      <c r="D504" t="s">
        <v>13</v>
      </c>
      <c r="E504" s="1">
        <v>0.83333333333333337</v>
      </c>
      <c r="F504" t="s">
        <v>700</v>
      </c>
      <c r="G504" t="s">
        <v>91</v>
      </c>
      <c r="H504" t="s">
        <v>39</v>
      </c>
    </row>
    <row r="505" spans="1:8">
      <c r="A505" t="s">
        <v>140</v>
      </c>
      <c r="B505" t="s">
        <v>704</v>
      </c>
      <c r="C505" t="s">
        <v>96</v>
      </c>
      <c r="D505" t="s">
        <v>71</v>
      </c>
      <c r="E505" s="2">
        <v>0.5</v>
      </c>
      <c r="F505" t="s">
        <v>705</v>
      </c>
      <c r="G505" t="s">
        <v>52</v>
      </c>
      <c r="H505" t="s">
        <v>39</v>
      </c>
    </row>
    <row r="506" spans="1:8">
      <c r="A506" t="s">
        <v>147</v>
      </c>
      <c r="B506" t="s">
        <v>706</v>
      </c>
      <c r="C506" t="s">
        <v>19</v>
      </c>
      <c r="D506" t="s">
        <v>79</v>
      </c>
      <c r="E506" s="1">
        <v>0.60416666666666663</v>
      </c>
      <c r="F506" t="s">
        <v>707</v>
      </c>
      <c r="G506" t="s">
        <v>31</v>
      </c>
      <c r="H506" t="s">
        <v>39</v>
      </c>
    </row>
    <row r="507" spans="1:8">
      <c r="A507" t="s">
        <v>43</v>
      </c>
      <c r="B507" t="s">
        <v>708</v>
      </c>
      <c r="D507" t="s">
        <v>50</v>
      </c>
      <c r="E507" s="2">
        <v>0.4375</v>
      </c>
      <c r="F507" t="s">
        <v>707</v>
      </c>
      <c r="G507" t="s">
        <v>91</v>
      </c>
      <c r="H507" t="s">
        <v>39</v>
      </c>
    </row>
    <row r="508" spans="1:8">
      <c r="A508" t="s">
        <v>173</v>
      </c>
      <c r="B508" t="s">
        <v>709</v>
      </c>
      <c r="C508" t="s">
        <v>37</v>
      </c>
      <c r="D508" t="s">
        <v>19</v>
      </c>
      <c r="E508" s="1">
        <v>0.27083333333333331</v>
      </c>
      <c r="F508" t="s">
        <v>707</v>
      </c>
      <c r="G508" t="s">
        <v>52</v>
      </c>
      <c r="H508" t="s">
        <v>39</v>
      </c>
    </row>
    <row r="509" spans="1:8">
      <c r="A509" t="s">
        <v>147</v>
      </c>
      <c r="B509" t="s">
        <v>706</v>
      </c>
      <c r="C509" t="s">
        <v>19</v>
      </c>
      <c r="D509" t="s">
        <v>79</v>
      </c>
      <c r="E509" s="1">
        <v>0.60416666666666663</v>
      </c>
      <c r="F509" t="s">
        <v>707</v>
      </c>
      <c r="G509" t="s">
        <v>31</v>
      </c>
      <c r="H509" t="s">
        <v>39</v>
      </c>
    </row>
    <row r="510" spans="1:8">
      <c r="A510" t="s">
        <v>386</v>
      </c>
      <c r="B510" t="s">
        <v>710</v>
      </c>
      <c r="C510" t="s">
        <v>19</v>
      </c>
      <c r="D510" t="s">
        <v>13</v>
      </c>
      <c r="E510" s="1">
        <v>0.35416666666666669</v>
      </c>
      <c r="F510" t="s">
        <v>711</v>
      </c>
      <c r="H510" t="s">
        <v>39</v>
      </c>
    </row>
    <row r="511" spans="1:8">
      <c r="A511" t="s">
        <v>598</v>
      </c>
      <c r="B511" t="s">
        <v>712</v>
      </c>
      <c r="C511" t="s">
        <v>19</v>
      </c>
      <c r="D511" t="s">
        <v>45</v>
      </c>
      <c r="E511" s="2">
        <v>0.85416666666666663</v>
      </c>
      <c r="F511" t="s">
        <v>711</v>
      </c>
      <c r="G511" t="s">
        <v>15</v>
      </c>
      <c r="H511" t="s">
        <v>39</v>
      </c>
    </row>
    <row r="512" spans="1:8">
      <c r="A512" t="s">
        <v>598</v>
      </c>
      <c r="B512" t="s">
        <v>712</v>
      </c>
      <c r="C512" t="s">
        <v>19</v>
      </c>
      <c r="D512" t="s">
        <v>45</v>
      </c>
      <c r="E512" s="2">
        <v>0.85416666666666663</v>
      </c>
      <c r="F512" t="s">
        <v>711</v>
      </c>
      <c r="G512" t="s">
        <v>15</v>
      </c>
      <c r="H512" t="s">
        <v>39</v>
      </c>
    </row>
    <row r="513" spans="1:8">
      <c r="A513" t="s">
        <v>83</v>
      </c>
      <c r="B513" t="s">
        <v>713</v>
      </c>
      <c r="D513" t="s">
        <v>45</v>
      </c>
      <c r="E513" s="2">
        <v>0.375</v>
      </c>
      <c r="F513" t="s">
        <v>711</v>
      </c>
      <c r="G513" t="s">
        <v>91</v>
      </c>
      <c r="H513" t="s">
        <v>39</v>
      </c>
    </row>
    <row r="514" spans="1:8">
      <c r="A514" t="s">
        <v>396</v>
      </c>
      <c r="B514" t="s">
        <v>714</v>
      </c>
      <c r="C514" t="s">
        <v>19</v>
      </c>
      <c r="D514" t="s">
        <v>13</v>
      </c>
      <c r="E514" s="2">
        <v>0.79166666666666663</v>
      </c>
      <c r="F514" t="s">
        <v>715</v>
      </c>
      <c r="G514" t="s">
        <v>91</v>
      </c>
      <c r="H514" t="s">
        <v>39</v>
      </c>
    </row>
    <row r="515" spans="1:8">
      <c r="A515" t="s">
        <v>313</v>
      </c>
      <c r="B515" t="s">
        <v>716</v>
      </c>
      <c r="C515" t="s">
        <v>78</v>
      </c>
      <c r="D515" t="s">
        <v>13</v>
      </c>
      <c r="E515" s="1">
        <v>0.5</v>
      </c>
      <c r="F515" t="s">
        <v>715</v>
      </c>
      <c r="G515" t="s">
        <v>52</v>
      </c>
      <c r="H515" t="s">
        <v>39</v>
      </c>
    </row>
    <row r="516" spans="1:8">
      <c r="A516" t="s">
        <v>255</v>
      </c>
      <c r="B516" t="s">
        <v>717</v>
      </c>
      <c r="C516" t="s">
        <v>19</v>
      </c>
      <c r="D516" t="s">
        <v>50</v>
      </c>
      <c r="E516" s="1">
        <v>0.3125</v>
      </c>
      <c r="F516" t="s">
        <v>715</v>
      </c>
      <c r="G516" t="s">
        <v>15</v>
      </c>
      <c r="H516" t="s">
        <v>39</v>
      </c>
    </row>
    <row r="517" spans="1:8">
      <c r="A517" t="s">
        <v>234</v>
      </c>
      <c r="B517" t="s">
        <v>718</v>
      </c>
      <c r="C517" t="s">
        <v>78</v>
      </c>
      <c r="E517" s="1">
        <v>0.83333333333333337</v>
      </c>
      <c r="F517" t="s">
        <v>715</v>
      </c>
      <c r="G517" t="s">
        <v>52</v>
      </c>
      <c r="H517" t="s">
        <v>39</v>
      </c>
    </row>
    <row r="518" spans="1:8">
      <c r="A518" t="s">
        <v>188</v>
      </c>
      <c r="B518" t="s">
        <v>719</v>
      </c>
      <c r="C518" t="s">
        <v>19</v>
      </c>
      <c r="D518" t="s">
        <v>50</v>
      </c>
      <c r="E518" s="2">
        <v>0.22916666666666666</v>
      </c>
      <c r="F518" t="s">
        <v>720</v>
      </c>
      <c r="G518" t="s">
        <v>91</v>
      </c>
      <c r="H518" t="s">
        <v>39</v>
      </c>
    </row>
    <row r="519" spans="1:8">
      <c r="A519" t="s">
        <v>188</v>
      </c>
      <c r="B519" t="s">
        <v>719</v>
      </c>
      <c r="C519" t="s">
        <v>19</v>
      </c>
      <c r="D519" t="s">
        <v>50</v>
      </c>
      <c r="E519" s="2">
        <v>0.22916666666666666</v>
      </c>
      <c r="F519" t="s">
        <v>720</v>
      </c>
      <c r="G519" t="s">
        <v>91</v>
      </c>
      <c r="H519" t="s">
        <v>39</v>
      </c>
    </row>
    <row r="520" spans="1:8">
      <c r="A520" t="s">
        <v>475</v>
      </c>
      <c r="B520" t="s">
        <v>721</v>
      </c>
      <c r="C520" t="s">
        <v>101</v>
      </c>
      <c r="D520" t="s">
        <v>50</v>
      </c>
      <c r="E520" s="2">
        <v>0.72916666666666663</v>
      </c>
      <c r="F520" t="s">
        <v>720</v>
      </c>
      <c r="G520" t="s">
        <v>15</v>
      </c>
      <c r="H520" t="s">
        <v>39</v>
      </c>
    </row>
    <row r="521" spans="1:8">
      <c r="A521" t="s">
        <v>66</v>
      </c>
      <c r="B521" t="s">
        <v>722</v>
      </c>
      <c r="C521" t="s">
        <v>34</v>
      </c>
      <c r="D521" t="s">
        <v>71</v>
      </c>
      <c r="E521" s="2">
        <v>0.41666666666666669</v>
      </c>
      <c r="F521" t="s">
        <v>720</v>
      </c>
      <c r="H521" t="s">
        <v>39</v>
      </c>
    </row>
    <row r="522" spans="1:8">
      <c r="A522" t="s">
        <v>188</v>
      </c>
      <c r="B522" t="s">
        <v>723</v>
      </c>
      <c r="C522" t="s">
        <v>78</v>
      </c>
      <c r="D522" t="s">
        <v>71</v>
      </c>
      <c r="E522" s="2">
        <v>0.3125</v>
      </c>
      <c r="F522" t="s">
        <v>720</v>
      </c>
      <c r="G522" t="s">
        <v>15</v>
      </c>
      <c r="H522" t="s">
        <v>39</v>
      </c>
    </row>
    <row r="523" spans="1:8">
      <c r="A523" t="s">
        <v>288</v>
      </c>
      <c r="B523" t="s">
        <v>724</v>
      </c>
      <c r="C523" t="s">
        <v>112</v>
      </c>
      <c r="D523" t="s">
        <v>45</v>
      </c>
      <c r="E523" s="2">
        <v>0.95833333333333337</v>
      </c>
      <c r="F523" t="s">
        <v>720</v>
      </c>
      <c r="G523" t="s">
        <v>91</v>
      </c>
      <c r="H523" t="s">
        <v>39</v>
      </c>
    </row>
    <row r="524" spans="1:8">
      <c r="A524" t="s">
        <v>127</v>
      </c>
      <c r="B524" t="s">
        <v>725</v>
      </c>
      <c r="C524" t="s">
        <v>101</v>
      </c>
      <c r="D524" t="s">
        <v>13</v>
      </c>
      <c r="E524" s="1">
        <v>0.45833333333333331</v>
      </c>
      <c r="F524" t="s">
        <v>726</v>
      </c>
      <c r="G524" t="s">
        <v>19</v>
      </c>
      <c r="H524" t="s">
        <v>39</v>
      </c>
    </row>
    <row r="525" spans="1:8">
      <c r="A525" t="s">
        <v>494</v>
      </c>
      <c r="B525" t="s">
        <v>727</v>
      </c>
      <c r="C525" t="s">
        <v>34</v>
      </c>
      <c r="D525" t="s">
        <v>13</v>
      </c>
      <c r="E525" s="2">
        <v>0.47916666666666669</v>
      </c>
      <c r="F525" t="s">
        <v>726</v>
      </c>
      <c r="G525" t="s">
        <v>52</v>
      </c>
      <c r="H525" t="s">
        <v>39</v>
      </c>
    </row>
    <row r="526" spans="1:8">
      <c r="A526" t="s">
        <v>73</v>
      </c>
      <c r="B526" t="s">
        <v>728</v>
      </c>
      <c r="C526" t="s">
        <v>96</v>
      </c>
      <c r="D526" t="s">
        <v>79</v>
      </c>
      <c r="E526" s="2">
        <v>0.54166666666666663</v>
      </c>
      <c r="F526" t="s">
        <v>729</v>
      </c>
      <c r="G526" t="s">
        <v>52</v>
      </c>
      <c r="H526" t="s">
        <v>39</v>
      </c>
    </row>
    <row r="527" spans="1:8">
      <c r="A527" t="s">
        <v>475</v>
      </c>
      <c r="B527" t="s">
        <v>730</v>
      </c>
      <c r="C527" t="s">
        <v>68</v>
      </c>
      <c r="D527" t="s">
        <v>13</v>
      </c>
      <c r="E527" s="1">
        <v>0.72916666666666663</v>
      </c>
      <c r="F527" t="s">
        <v>729</v>
      </c>
      <c r="G527" t="s">
        <v>91</v>
      </c>
      <c r="H527" t="s">
        <v>39</v>
      </c>
    </row>
    <row r="528" spans="1:8">
      <c r="A528" t="s">
        <v>73</v>
      </c>
      <c r="B528" t="s">
        <v>728</v>
      </c>
      <c r="C528" t="s">
        <v>96</v>
      </c>
      <c r="D528" t="s">
        <v>79</v>
      </c>
      <c r="E528" s="2">
        <v>0.54166666666666663</v>
      </c>
      <c r="F528" t="s">
        <v>729</v>
      </c>
      <c r="G528" t="s">
        <v>52</v>
      </c>
      <c r="H528" t="s">
        <v>39</v>
      </c>
    </row>
    <row r="529" spans="1:8">
      <c r="A529" t="s">
        <v>274</v>
      </c>
      <c r="B529" t="s">
        <v>731</v>
      </c>
      <c r="C529" t="s">
        <v>19</v>
      </c>
      <c r="D529" t="s">
        <v>19</v>
      </c>
      <c r="E529" s="1">
        <v>0.52083333333333337</v>
      </c>
      <c r="F529" t="s">
        <v>729</v>
      </c>
      <c r="G529" t="s">
        <v>52</v>
      </c>
      <c r="H529" t="s">
        <v>39</v>
      </c>
    </row>
    <row r="530" spans="1:8">
      <c r="A530" t="s">
        <v>64</v>
      </c>
      <c r="B530" t="s">
        <v>732</v>
      </c>
      <c r="C530" t="s">
        <v>55</v>
      </c>
      <c r="D530" t="s">
        <v>45</v>
      </c>
      <c r="E530" s="2">
        <v>0.97916666666666663</v>
      </c>
      <c r="F530" t="s">
        <v>733</v>
      </c>
      <c r="G530" t="s">
        <v>31</v>
      </c>
      <c r="H530" t="s">
        <v>39</v>
      </c>
    </row>
    <row r="531" spans="1:8">
      <c r="A531" t="s">
        <v>64</v>
      </c>
      <c r="B531" t="s">
        <v>732</v>
      </c>
      <c r="C531" t="s">
        <v>55</v>
      </c>
      <c r="D531" t="s">
        <v>45</v>
      </c>
      <c r="E531" s="2">
        <v>0.97916666666666663</v>
      </c>
      <c r="F531" t="s">
        <v>733</v>
      </c>
      <c r="G531" t="s">
        <v>31</v>
      </c>
      <c r="H531" t="s">
        <v>39</v>
      </c>
    </row>
    <row r="532" spans="1:8">
      <c r="A532" t="s">
        <v>598</v>
      </c>
      <c r="B532" t="s">
        <v>734</v>
      </c>
      <c r="E532" s="2">
        <v>0.10416666666666667</v>
      </c>
      <c r="F532" t="s">
        <v>735</v>
      </c>
      <c r="G532" t="s">
        <v>91</v>
      </c>
      <c r="H532" t="s">
        <v>39</v>
      </c>
    </row>
    <row r="533" spans="1:8">
      <c r="A533" t="s">
        <v>64</v>
      </c>
      <c r="B533" t="s">
        <v>736</v>
      </c>
      <c r="C533" t="s">
        <v>96</v>
      </c>
      <c r="D533" t="s">
        <v>13</v>
      </c>
      <c r="E533" s="2">
        <v>0.375</v>
      </c>
      <c r="F533" t="s">
        <v>735</v>
      </c>
      <c r="G533" t="s">
        <v>15</v>
      </c>
      <c r="H533" t="s">
        <v>39</v>
      </c>
    </row>
    <row r="534" spans="1:8">
      <c r="A534" t="s">
        <v>389</v>
      </c>
      <c r="B534" t="s">
        <v>737</v>
      </c>
      <c r="C534" t="s">
        <v>19</v>
      </c>
      <c r="D534" t="s">
        <v>13</v>
      </c>
      <c r="E534" s="2">
        <v>0.70833333333333337</v>
      </c>
      <c r="F534" t="s">
        <v>738</v>
      </c>
      <c r="H534" t="s">
        <v>39</v>
      </c>
    </row>
    <row r="535" spans="1:8">
      <c r="A535" t="s">
        <v>180</v>
      </c>
      <c r="B535" t="s">
        <v>739</v>
      </c>
      <c r="C535" t="s">
        <v>96</v>
      </c>
      <c r="D535" t="s">
        <v>19</v>
      </c>
      <c r="E535" s="1">
        <v>0.14583333333333334</v>
      </c>
      <c r="F535" t="s">
        <v>738</v>
      </c>
      <c r="G535" t="s">
        <v>15</v>
      </c>
      <c r="H535" t="s">
        <v>39</v>
      </c>
    </row>
    <row r="536" spans="1:8">
      <c r="A536" t="s">
        <v>180</v>
      </c>
      <c r="B536" t="s">
        <v>739</v>
      </c>
      <c r="C536" t="s">
        <v>96</v>
      </c>
      <c r="D536" t="s">
        <v>19</v>
      </c>
      <c r="E536" s="1">
        <v>0.14583333333333334</v>
      </c>
      <c r="F536" t="s">
        <v>738</v>
      </c>
      <c r="G536" t="s">
        <v>15</v>
      </c>
      <c r="H536" t="s">
        <v>39</v>
      </c>
    </row>
    <row r="537" spans="1:8">
      <c r="A537" t="s">
        <v>197</v>
      </c>
      <c r="B537" t="s">
        <v>740</v>
      </c>
      <c r="C537" t="s">
        <v>101</v>
      </c>
      <c r="D537" t="s">
        <v>79</v>
      </c>
      <c r="E537" s="1">
        <v>0.85416666666666663</v>
      </c>
      <c r="F537" t="s">
        <v>738</v>
      </c>
      <c r="G537" t="s">
        <v>15</v>
      </c>
      <c r="H537" t="s">
        <v>39</v>
      </c>
    </row>
    <row r="538" spans="1:8">
      <c r="A538" t="s">
        <v>389</v>
      </c>
      <c r="B538" t="s">
        <v>737</v>
      </c>
      <c r="C538" t="s">
        <v>19</v>
      </c>
      <c r="D538" t="s">
        <v>13</v>
      </c>
      <c r="E538" s="2">
        <v>0.70833333333333337</v>
      </c>
      <c r="F538" t="s">
        <v>738</v>
      </c>
      <c r="H538" t="s">
        <v>39</v>
      </c>
    </row>
    <row r="539" spans="1:8">
      <c r="A539" t="s">
        <v>40</v>
      </c>
      <c r="B539" t="s">
        <v>741</v>
      </c>
      <c r="C539" t="s">
        <v>112</v>
      </c>
      <c r="E539" s="2">
        <v>0.9375</v>
      </c>
      <c r="F539" t="s">
        <v>738</v>
      </c>
      <c r="G539" t="s">
        <v>19</v>
      </c>
      <c r="H539" t="s">
        <v>39</v>
      </c>
    </row>
    <row r="540" spans="1:8">
      <c r="A540" t="s">
        <v>108</v>
      </c>
      <c r="B540" t="s">
        <v>742</v>
      </c>
      <c r="C540" t="s">
        <v>19</v>
      </c>
      <c r="D540" t="s">
        <v>79</v>
      </c>
      <c r="E540" s="2">
        <v>0.10416666666666667</v>
      </c>
      <c r="F540" t="s">
        <v>738</v>
      </c>
      <c r="G540" t="s">
        <v>15</v>
      </c>
      <c r="H540" t="s">
        <v>39</v>
      </c>
    </row>
    <row r="541" spans="1:8">
      <c r="A541" t="s">
        <v>177</v>
      </c>
      <c r="B541" t="s">
        <v>743</v>
      </c>
      <c r="C541" t="s">
        <v>112</v>
      </c>
      <c r="E541" s="2">
        <v>0.85416666666666663</v>
      </c>
      <c r="F541" t="s">
        <v>744</v>
      </c>
      <c r="G541" t="s">
        <v>52</v>
      </c>
      <c r="H541" t="s">
        <v>39</v>
      </c>
    </row>
    <row r="542" spans="1:8">
      <c r="A542" t="s">
        <v>35</v>
      </c>
      <c r="B542" t="s">
        <v>745</v>
      </c>
      <c r="C542" t="s">
        <v>101</v>
      </c>
      <c r="D542" t="s">
        <v>45</v>
      </c>
      <c r="E542" s="2">
        <v>0.625</v>
      </c>
      <c r="F542" t="s">
        <v>746</v>
      </c>
      <c r="G542" t="s">
        <v>19</v>
      </c>
      <c r="H542" t="s">
        <v>39</v>
      </c>
    </row>
    <row r="543" spans="1:8">
      <c r="A543" t="s">
        <v>257</v>
      </c>
      <c r="B543" t="s">
        <v>747</v>
      </c>
      <c r="D543" t="s">
        <v>71</v>
      </c>
      <c r="E543" s="1">
        <v>0.5625</v>
      </c>
      <c r="F543" t="s">
        <v>748</v>
      </c>
      <c r="G543" t="s">
        <v>91</v>
      </c>
      <c r="H543" t="s">
        <v>39</v>
      </c>
    </row>
    <row r="544" spans="1:8">
      <c r="A544" t="s">
        <v>536</v>
      </c>
      <c r="B544" t="s">
        <v>749</v>
      </c>
      <c r="C544" t="s">
        <v>101</v>
      </c>
      <c r="D544" t="s">
        <v>13</v>
      </c>
      <c r="E544" s="2">
        <v>0.79166666666666663</v>
      </c>
      <c r="F544" t="s">
        <v>750</v>
      </c>
      <c r="G544" t="s">
        <v>28</v>
      </c>
      <c r="H544" t="s">
        <v>39</v>
      </c>
    </row>
    <row r="545" spans="1:8">
      <c r="A545" t="s">
        <v>751</v>
      </c>
      <c r="B545" t="s">
        <v>752</v>
      </c>
      <c r="C545" t="s">
        <v>101</v>
      </c>
      <c r="D545" t="s">
        <v>19</v>
      </c>
      <c r="E545" s="1">
        <v>0</v>
      </c>
      <c r="F545" t="s">
        <v>750</v>
      </c>
      <c r="G545" t="s">
        <v>28</v>
      </c>
      <c r="H545" t="s">
        <v>39</v>
      </c>
    </row>
    <row r="546" spans="1:8">
      <c r="A546" t="s">
        <v>751</v>
      </c>
      <c r="B546" t="s">
        <v>752</v>
      </c>
      <c r="C546" t="s">
        <v>101</v>
      </c>
      <c r="D546" t="s">
        <v>19</v>
      </c>
      <c r="E546" s="1">
        <v>0</v>
      </c>
      <c r="F546" t="s">
        <v>750</v>
      </c>
      <c r="G546" t="s">
        <v>28</v>
      </c>
      <c r="H546" t="s">
        <v>39</v>
      </c>
    </row>
    <row r="547" spans="1:8">
      <c r="A547" t="s">
        <v>211</v>
      </c>
      <c r="B547" t="s">
        <v>753</v>
      </c>
      <c r="C547" t="s">
        <v>78</v>
      </c>
      <c r="D547" t="s">
        <v>71</v>
      </c>
      <c r="E547" s="1">
        <v>0.95833333333333337</v>
      </c>
      <c r="F547" t="s">
        <v>754</v>
      </c>
      <c r="G547" t="s">
        <v>31</v>
      </c>
      <c r="H547" t="s">
        <v>39</v>
      </c>
    </row>
    <row r="548" spans="1:8">
      <c r="A548" t="s">
        <v>64</v>
      </c>
      <c r="B548" t="s">
        <v>755</v>
      </c>
      <c r="C548" t="s">
        <v>96</v>
      </c>
      <c r="D548" t="s">
        <v>50</v>
      </c>
      <c r="E548" s="1">
        <v>0.77083333333333337</v>
      </c>
      <c r="F548" t="s">
        <v>754</v>
      </c>
      <c r="G548" t="s">
        <v>52</v>
      </c>
      <c r="H548" t="s">
        <v>39</v>
      </c>
    </row>
    <row r="549" spans="1:8">
      <c r="A549" t="s">
        <v>35</v>
      </c>
      <c r="B549" t="s">
        <v>756</v>
      </c>
      <c r="C549" t="s">
        <v>78</v>
      </c>
      <c r="D549" t="s">
        <v>45</v>
      </c>
      <c r="E549" s="2">
        <v>0.35416666666666669</v>
      </c>
      <c r="F549" t="s">
        <v>754</v>
      </c>
      <c r="G549" t="s">
        <v>31</v>
      </c>
      <c r="H549" t="s">
        <v>39</v>
      </c>
    </row>
    <row r="550" spans="1:8">
      <c r="A550" t="s">
        <v>443</v>
      </c>
      <c r="B550" t="s">
        <v>757</v>
      </c>
      <c r="C550" t="s">
        <v>55</v>
      </c>
      <c r="D550" t="s">
        <v>71</v>
      </c>
      <c r="E550" s="2">
        <v>0.22916666666666666</v>
      </c>
      <c r="F550" t="s">
        <v>758</v>
      </c>
      <c r="H550" t="s">
        <v>39</v>
      </c>
    </row>
    <row r="551" spans="1:8">
      <c r="A551" t="s">
        <v>619</v>
      </c>
      <c r="B551" t="s">
        <v>759</v>
      </c>
      <c r="C551" t="s">
        <v>37</v>
      </c>
      <c r="D551" t="s">
        <v>71</v>
      </c>
      <c r="E551" s="2">
        <v>6.25E-2</v>
      </c>
      <c r="F551" t="s">
        <v>760</v>
      </c>
      <c r="G551" t="s">
        <v>28</v>
      </c>
      <c r="H551" t="s">
        <v>39</v>
      </c>
    </row>
  </sheetData>
  <conditionalFormatting sqref="I552:I1048576">
    <cfRule type="duplicateValues" dxfId="3" priority="1"/>
  </conditionalFormatting>
  <hyperlinks>
    <hyperlink ref="B22" r:id="rId1" xr:uid="{5E35361E-C9A6-4077-8D53-31CC1CC06C56}"/>
  </hyperlinks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72D39-7700-4A80-B7DC-CF782DB2639B}">
  <dimension ref="A1:N551"/>
  <sheetViews>
    <sheetView workbookViewId="0">
      <selection activeCell="H12" sqref="H12"/>
    </sheetView>
  </sheetViews>
  <sheetFormatPr defaultRowHeight="15"/>
  <cols>
    <col min="1" max="1" width="15" bestFit="1" customWidth="1"/>
    <col min="2" max="2" width="31.42578125" bestFit="1" customWidth="1"/>
    <col min="3" max="3" width="14.42578125" bestFit="1" customWidth="1"/>
    <col min="4" max="4" width="24.85546875" bestFit="1" customWidth="1"/>
    <col min="5" max="5" width="13" customWidth="1"/>
    <col min="6" max="6" width="6.7109375" customWidth="1"/>
    <col min="7" max="7" width="17.140625" customWidth="1"/>
    <col min="8" max="8" width="9.42578125" bestFit="1" customWidth="1"/>
    <col min="9" max="9" width="110.140625" bestFit="1" customWidth="1"/>
    <col min="10" max="10" width="17.5703125" bestFit="1" customWidth="1"/>
    <col min="13" max="13" width="20.5703125" bestFit="1" customWidth="1"/>
  </cols>
  <sheetData>
    <row r="1" spans="1:1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t="s">
        <v>8</v>
      </c>
      <c r="J1" s="5" t="s">
        <v>9</v>
      </c>
      <c r="M1" s="24" t="s">
        <v>779</v>
      </c>
      <c r="N1" s="24"/>
    </row>
    <row r="2" spans="1:14">
      <c r="A2" t="s">
        <v>10</v>
      </c>
      <c r="B2" t="s">
        <v>11</v>
      </c>
      <c r="C2" t="s">
        <v>12</v>
      </c>
      <c r="D2" t="s">
        <v>13</v>
      </c>
      <c r="E2" s="1">
        <v>0.95833333333333337</v>
      </c>
      <c r="F2" t="s">
        <v>14</v>
      </c>
      <c r="G2" t="s">
        <v>15</v>
      </c>
      <c r="H2" t="s">
        <v>16</v>
      </c>
      <c r="I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Smithjordan.smith783@example.comUnited StatesTraining: Dashboard Design0.95833333333333310AVegetarianVIP</v>
      </c>
      <c r="J2" t="str">
        <f>IF(COUNTIF(EDA_Table[Temp ID],EDA_Table[[#This Row],[Temp ID]])&gt;1,"Duplicate","Unique")</f>
        <v>Unique</v>
      </c>
      <c r="M2" s="6" t="s">
        <v>780</v>
      </c>
      <c r="N2" s="8">
        <f>COUNTA(A2:A551)</f>
        <v>550</v>
      </c>
    </row>
    <row r="3" spans="1:14">
      <c r="A3" t="s">
        <v>17</v>
      </c>
      <c r="B3" t="s">
        <v>18</v>
      </c>
      <c r="C3" t="s">
        <v>12</v>
      </c>
      <c r="D3" t="s">
        <v>19</v>
      </c>
      <c r="E3" s="1">
        <v>0.52083333333333337</v>
      </c>
      <c r="F3" t="s">
        <v>20</v>
      </c>
      <c r="G3" t="s">
        <v>19</v>
      </c>
      <c r="H3" t="s">
        <v>21</v>
      </c>
      <c r="I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Allenriley.allen285@example.comUnited States 0.52083333333333310B Speaker</v>
      </c>
      <c r="J3" t="str">
        <f>IF(COUNTIF(EDA_Table[Temp ID],EDA_Table[[#This Row],[Temp ID]])&gt;1,"Duplicate","Unique")</f>
        <v>Unique</v>
      </c>
      <c r="M3" s="6" t="s">
        <v>781</v>
      </c>
      <c r="N3" s="8">
        <f>COUNTBLANK(A2:H551)</f>
        <v>199</v>
      </c>
    </row>
    <row r="4" spans="1:14">
      <c r="A4" t="s">
        <v>22</v>
      </c>
      <c r="B4" t="s">
        <v>23</v>
      </c>
      <c r="D4" t="s">
        <v>13</v>
      </c>
      <c r="E4" s="2">
        <v>0.54166666666666663</v>
      </c>
      <c r="F4" t="s">
        <v>20</v>
      </c>
      <c r="G4" t="s">
        <v>15</v>
      </c>
      <c r="H4" t="s">
        <v>24</v>
      </c>
      <c r="I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Hallmorgan.hall123@example.comTraining: Dashboard Design0.54166666666666710BVegetarianSponsor</v>
      </c>
      <c r="J4" t="str">
        <f>IF(COUNTIF(EDA_Table[Temp ID],EDA_Table[[#This Row],[Temp ID]])&gt;1,"Duplicate","Unique")</f>
        <v>Unique</v>
      </c>
      <c r="M4" s="6" t="s">
        <v>782</v>
      </c>
      <c r="N4" s="8">
        <f>COUNTIF(J2:J551,"Duplicate")</f>
        <v>200</v>
      </c>
    </row>
    <row r="5" spans="1:14">
      <c r="A5" t="s">
        <v>25</v>
      </c>
      <c r="B5" t="s">
        <v>26</v>
      </c>
      <c r="C5" t="s">
        <v>27</v>
      </c>
      <c r="D5" t="s">
        <v>19</v>
      </c>
      <c r="E5" s="2">
        <v>0.3125</v>
      </c>
      <c r="F5" t="s">
        <v>20</v>
      </c>
      <c r="G5" t="s">
        <v>28</v>
      </c>
      <c r="H5" t="s">
        <v>16</v>
      </c>
      <c r="I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Jesse Clarkjesse.clark592@example.comFrance 0.312510BKosherVIP</v>
      </c>
      <c r="J5" t="str">
        <f>IF(COUNTIF(EDA_Table[Temp ID],EDA_Table[[#This Row],[Temp ID]])&gt;1,"Duplicate","Unique")</f>
        <v>Unique</v>
      </c>
      <c r="M5" s="6" t="s">
        <v>783</v>
      </c>
      <c r="N5" s="8">
        <f>COUNTIF(J2:J551,"Unique")</f>
        <v>350</v>
      </c>
    </row>
    <row r="6" spans="1:14">
      <c r="A6" t="s">
        <v>29</v>
      </c>
      <c r="B6" t="s">
        <v>30</v>
      </c>
      <c r="C6" t="s">
        <v>12</v>
      </c>
      <c r="D6" t="s">
        <v>19</v>
      </c>
      <c r="E6" s="2">
        <v>0.14583333333333334</v>
      </c>
      <c r="F6" t="s">
        <v>20</v>
      </c>
      <c r="G6" t="s">
        <v>31</v>
      </c>
      <c r="H6" t="s">
        <v>24</v>
      </c>
      <c r="I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Hallchris.hall470@example.comUnited States 0.14583333333333310BNoneSponsor</v>
      </c>
      <c r="J6" t="str">
        <f>IF(COUNTIF(EDA_Table[Temp ID],EDA_Table[[#This Row],[Temp ID]])&gt;1,"Duplicate","Unique")</f>
        <v>Duplicate</v>
      </c>
    </row>
    <row r="7" spans="1:14">
      <c r="A7" t="s">
        <v>32</v>
      </c>
      <c r="B7" t="s">
        <v>33</v>
      </c>
      <c r="C7" t="s">
        <v>34</v>
      </c>
      <c r="D7" t="s">
        <v>19</v>
      </c>
      <c r="E7" s="2">
        <v>4.1666666666666664E-2</v>
      </c>
      <c r="F7" t="s">
        <v>20</v>
      </c>
      <c r="G7" t="s">
        <v>19</v>
      </c>
      <c r="H7" t="s">
        <v>24</v>
      </c>
      <c r="I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Clarktaylor.clark735@example.comGermany 0.041666666666666710B Sponsor</v>
      </c>
      <c r="J7" t="str">
        <f>IF(COUNTIF(EDA_Table[Temp ID],EDA_Table[[#This Row],[Temp ID]])&gt;1,"Duplicate","Unique")</f>
        <v>Unique</v>
      </c>
    </row>
    <row r="8" spans="1:14">
      <c r="A8" t="s">
        <v>29</v>
      </c>
      <c r="B8" t="s">
        <v>30</v>
      </c>
      <c r="C8" t="s">
        <v>12</v>
      </c>
      <c r="D8" t="s">
        <v>19</v>
      </c>
      <c r="E8" s="2">
        <v>0.14583333333333334</v>
      </c>
      <c r="F8" t="s">
        <v>20</v>
      </c>
      <c r="G8" t="s">
        <v>31</v>
      </c>
      <c r="H8" t="s">
        <v>24</v>
      </c>
      <c r="I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Hallchris.hall470@example.comUnited States 0.14583333333333310BNoneSponsor</v>
      </c>
      <c r="J8" t="str">
        <f>IF(COUNTIF(EDA_Table[Temp ID],EDA_Table[[#This Row],[Temp ID]])&gt;1,"Duplicate","Unique")</f>
        <v>Duplicate</v>
      </c>
    </row>
    <row r="9" spans="1:14">
      <c r="A9" t="s">
        <v>35</v>
      </c>
      <c r="B9" t="s">
        <v>36</v>
      </c>
      <c r="C9" t="s">
        <v>37</v>
      </c>
      <c r="D9" t="s">
        <v>19</v>
      </c>
      <c r="E9" s="2">
        <v>0.83333333333333337</v>
      </c>
      <c r="F9" t="s">
        <v>38</v>
      </c>
      <c r="G9" t="s">
        <v>19</v>
      </c>
      <c r="H9" t="s">
        <v>39</v>
      </c>
      <c r="I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Halltaylor.hall935@example.comCanada 0.83333333333333310C Attendee</v>
      </c>
      <c r="J9" t="str">
        <f>IF(COUNTIF(EDA_Table[Temp ID],EDA_Table[[#This Row],[Temp ID]])&gt;1,"Duplicate","Unique")</f>
        <v>Unique</v>
      </c>
    </row>
    <row r="10" spans="1:14">
      <c r="A10" t="s">
        <v>40</v>
      </c>
      <c r="B10" t="s">
        <v>41</v>
      </c>
      <c r="C10" t="s">
        <v>12</v>
      </c>
      <c r="E10" s="1">
        <v>0.39583333333333331</v>
      </c>
      <c r="F10" t="s">
        <v>42</v>
      </c>
      <c r="G10" t="s">
        <v>19</v>
      </c>
      <c r="H10" t="s">
        <v>24</v>
      </c>
      <c r="I1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Allendrew.allen56@example.comUnited States0.39583333333333311A Sponsor</v>
      </c>
      <c r="J10" t="str">
        <f>IF(COUNTIF(EDA_Table[Temp ID],EDA_Table[[#This Row],[Temp ID]])&gt;1,"Duplicate","Unique")</f>
        <v>Duplicate</v>
      </c>
    </row>
    <row r="11" spans="1:14">
      <c r="A11" t="s">
        <v>43</v>
      </c>
      <c r="B11" t="s">
        <v>44</v>
      </c>
      <c r="D11" t="s">
        <v>45</v>
      </c>
      <c r="E11" s="1">
        <v>0.16666666666666666</v>
      </c>
      <c r="F11" t="s">
        <v>42</v>
      </c>
      <c r="G11" t="s">
        <v>28</v>
      </c>
      <c r="H11" t="s">
        <v>39</v>
      </c>
      <c r="I1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Wilsonmorgan.wilson271@example.comKeynote: Future of Data0.16666666666666711AKosherAttendee</v>
      </c>
      <c r="J11" t="str">
        <f>IF(COUNTIF(EDA_Table[Temp ID],EDA_Table[[#This Row],[Temp ID]])&gt;1,"Duplicate","Unique")</f>
        <v>Duplicate</v>
      </c>
    </row>
    <row r="12" spans="1:14">
      <c r="A12" t="s">
        <v>43</v>
      </c>
      <c r="B12" t="s">
        <v>44</v>
      </c>
      <c r="D12" t="s">
        <v>45</v>
      </c>
      <c r="E12" s="1">
        <v>0.16666666666666666</v>
      </c>
      <c r="F12" t="s">
        <v>42</v>
      </c>
      <c r="G12" t="s">
        <v>28</v>
      </c>
      <c r="H12" t="s">
        <v>39</v>
      </c>
      <c r="I1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Wilsonmorgan.wilson271@example.comKeynote: Future of Data0.16666666666666711AKosherAttendee</v>
      </c>
      <c r="J12" t="str">
        <f>IF(COUNTIF(EDA_Table[Temp ID],EDA_Table[[#This Row],[Temp ID]])&gt;1,"Duplicate","Unique")</f>
        <v>Duplicate</v>
      </c>
    </row>
    <row r="13" spans="1:14">
      <c r="A13" t="s">
        <v>46</v>
      </c>
      <c r="B13" t="s">
        <v>47</v>
      </c>
      <c r="C13" t="s">
        <v>37</v>
      </c>
      <c r="D13" t="s">
        <v>45</v>
      </c>
      <c r="E13" s="2">
        <v>0.22916666666666666</v>
      </c>
      <c r="F13" t="s">
        <v>42</v>
      </c>
      <c r="G13" t="s">
        <v>31</v>
      </c>
      <c r="H13" t="s">
        <v>24</v>
      </c>
      <c r="I1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Clarkalex.clark268@example.comCanadaKeynote: Future of Data0.22916666666666711ANoneSponsor</v>
      </c>
      <c r="J13" t="str">
        <f>IF(COUNTIF(EDA_Table[Temp ID],EDA_Table[[#This Row],[Temp ID]])&gt;1,"Duplicate","Unique")</f>
        <v>Unique</v>
      </c>
    </row>
    <row r="14" spans="1:14">
      <c r="A14" t="s">
        <v>40</v>
      </c>
      <c r="B14" t="s">
        <v>41</v>
      </c>
      <c r="C14" t="s">
        <v>12</v>
      </c>
      <c r="E14" s="1">
        <v>0.39583333333333331</v>
      </c>
      <c r="F14" t="s">
        <v>42</v>
      </c>
      <c r="G14" t="s">
        <v>19</v>
      </c>
      <c r="H14" t="s">
        <v>24</v>
      </c>
      <c r="I1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Allendrew.allen56@example.comUnited States0.39583333333333311A Sponsor</v>
      </c>
      <c r="J14" t="str">
        <f>IF(COUNTIF(EDA_Table[Temp ID],EDA_Table[[#This Row],[Temp ID]])&gt;1,"Duplicate","Unique")</f>
        <v>Duplicate</v>
      </c>
    </row>
    <row r="15" spans="1:14">
      <c r="A15" t="s">
        <v>48</v>
      </c>
      <c r="B15" t="s">
        <v>49</v>
      </c>
      <c r="C15" t="s">
        <v>34</v>
      </c>
      <c r="D15" t="s">
        <v>50</v>
      </c>
      <c r="E15" s="2">
        <v>0.75</v>
      </c>
      <c r="F15" t="s">
        <v>51</v>
      </c>
      <c r="G15" t="s">
        <v>52</v>
      </c>
      <c r="H15" t="s">
        <v>16</v>
      </c>
      <c r="I1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Clarkjamie.clark442@example.comGermanyWorkshop: Excel Mastery0.7511BVeganVIP</v>
      </c>
      <c r="J15" t="str">
        <f>IF(COUNTIF(EDA_Table[Temp ID],EDA_Table[[#This Row],[Temp ID]])&gt;1,"Duplicate","Unique")</f>
        <v>Unique</v>
      </c>
    </row>
    <row r="16" spans="1:14">
      <c r="A16" t="s">
        <v>53</v>
      </c>
      <c r="B16" t="s">
        <v>54</v>
      </c>
      <c r="C16" t="s">
        <v>55</v>
      </c>
      <c r="D16" t="s">
        <v>13</v>
      </c>
      <c r="E16" s="2">
        <v>0.41666666666666669</v>
      </c>
      <c r="F16" t="s">
        <v>56</v>
      </c>
      <c r="G16" t="s">
        <v>28</v>
      </c>
      <c r="H16" t="s">
        <v>16</v>
      </c>
      <c r="I1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Brownriley.brown482@example.comBrazilTraining: Dashboard Design0.41666666666666711CKosherVIP</v>
      </c>
      <c r="J16" t="str">
        <f>IF(COUNTIF(EDA_Table[Temp ID],EDA_Table[[#This Row],[Temp ID]])&gt;1,"Duplicate","Unique")</f>
        <v>Unique</v>
      </c>
    </row>
    <row r="17" spans="1:10">
      <c r="A17" t="s">
        <v>40</v>
      </c>
      <c r="B17" t="s">
        <v>57</v>
      </c>
      <c r="C17" t="s">
        <v>34</v>
      </c>
      <c r="D17" t="s">
        <v>13</v>
      </c>
      <c r="E17" s="1">
        <v>0.58333333333333337</v>
      </c>
      <c r="F17" t="s">
        <v>56</v>
      </c>
      <c r="H17" t="s">
        <v>16</v>
      </c>
      <c r="I1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Allendrew.allen187@example.comGermanyTraining: Dashboard Design0.58333333333333311CVIP</v>
      </c>
      <c r="J17" t="str">
        <f>IF(COUNTIF(EDA_Table[Temp ID],EDA_Table[[#This Row],[Temp ID]])&gt;1,"Duplicate","Unique")</f>
        <v>Duplicate</v>
      </c>
    </row>
    <row r="18" spans="1:10">
      <c r="A18" t="s">
        <v>40</v>
      </c>
      <c r="B18" t="s">
        <v>57</v>
      </c>
      <c r="C18" t="s">
        <v>34</v>
      </c>
      <c r="D18" t="s">
        <v>13</v>
      </c>
      <c r="E18" s="1">
        <v>0.58333333333333337</v>
      </c>
      <c r="F18" t="s">
        <v>56</v>
      </c>
      <c r="H18" t="s">
        <v>16</v>
      </c>
      <c r="I1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Allendrew.allen187@example.comGermanyTraining: Dashboard Design0.58333333333333311CVIP</v>
      </c>
      <c r="J18" t="str">
        <f>IF(COUNTIF(EDA_Table[Temp ID],EDA_Table[[#This Row],[Temp ID]])&gt;1,"Duplicate","Unique")</f>
        <v>Duplicate</v>
      </c>
    </row>
    <row r="19" spans="1:10">
      <c r="A19" t="s">
        <v>10</v>
      </c>
      <c r="B19" t="s">
        <v>58</v>
      </c>
      <c r="C19" t="s">
        <v>34</v>
      </c>
      <c r="D19" t="s">
        <v>45</v>
      </c>
      <c r="E19" s="1">
        <v>0.1875</v>
      </c>
      <c r="F19" t="s">
        <v>56</v>
      </c>
      <c r="H19" t="s">
        <v>24</v>
      </c>
      <c r="I1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Smithjordan.smith391@example.comGermanyKeynote: Future of Data0.187511CSponsor</v>
      </c>
      <c r="J19" t="str">
        <f>IF(COUNTIF(EDA_Table[Temp ID],EDA_Table[[#This Row],[Temp ID]])&gt;1,"Duplicate","Unique")</f>
        <v>Unique</v>
      </c>
    </row>
    <row r="20" spans="1:10">
      <c r="A20" t="s">
        <v>59</v>
      </c>
      <c r="B20" t="s">
        <v>60</v>
      </c>
      <c r="C20" t="s">
        <v>34</v>
      </c>
      <c r="D20" t="s">
        <v>19</v>
      </c>
      <c r="E20" s="2">
        <v>0.6875</v>
      </c>
      <c r="F20" t="s">
        <v>56</v>
      </c>
      <c r="G20" t="s">
        <v>19</v>
      </c>
      <c r="H20" t="s">
        <v>16</v>
      </c>
      <c r="I2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Leecasey.lee206@example.comGermany 0.687511C VIP</v>
      </c>
      <c r="J20" t="str">
        <f>IF(COUNTIF(EDA_Table[Temp ID],EDA_Table[[#This Row],[Temp ID]])&gt;1,"Duplicate","Unique")</f>
        <v>Unique</v>
      </c>
    </row>
    <row r="21" spans="1:10">
      <c r="A21" t="s">
        <v>61</v>
      </c>
      <c r="B21" t="s">
        <v>62</v>
      </c>
      <c r="C21" t="s">
        <v>37</v>
      </c>
      <c r="D21" t="s">
        <v>50</v>
      </c>
      <c r="E21" s="1">
        <v>0.91666666666666663</v>
      </c>
      <c r="F21" t="s">
        <v>63</v>
      </c>
      <c r="G21" t="s">
        <v>28</v>
      </c>
      <c r="H21" t="s">
        <v>24</v>
      </c>
      <c r="I2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Johnsonriley.johnson240@example.comCanadaWorkshop: Excel Mastery0.91666666666666711DKosherSponsor</v>
      </c>
      <c r="J21" t="str">
        <f>IF(COUNTIF(EDA_Table[Temp ID],EDA_Table[[#This Row],[Temp ID]])&gt;1,"Duplicate","Unique")</f>
        <v>Duplicate</v>
      </c>
    </row>
    <row r="22" spans="1:10">
      <c r="A22" t="s">
        <v>64</v>
      </c>
      <c r="B22" t="s">
        <v>65</v>
      </c>
      <c r="C22" t="s">
        <v>37</v>
      </c>
      <c r="E22" s="2">
        <v>0</v>
      </c>
      <c r="F22" t="s">
        <v>63</v>
      </c>
      <c r="G22" t="s">
        <v>28</v>
      </c>
      <c r="H22" t="s">
        <v>24</v>
      </c>
      <c r="I2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Smithjamie.smith48@example.comCanada011DKosherSponsor</v>
      </c>
      <c r="J22" t="str">
        <f>IF(COUNTIF(EDA_Table[Temp ID],EDA_Table[[#This Row],[Temp ID]])&gt;1,"Duplicate","Unique")</f>
        <v>Unique</v>
      </c>
    </row>
    <row r="23" spans="1:10">
      <c r="A23" t="s">
        <v>61</v>
      </c>
      <c r="B23" t="s">
        <v>62</v>
      </c>
      <c r="C23" t="s">
        <v>37</v>
      </c>
      <c r="D23" t="s">
        <v>50</v>
      </c>
      <c r="E23" s="1">
        <v>0.91666666666666663</v>
      </c>
      <c r="F23" t="s">
        <v>63</v>
      </c>
      <c r="G23" t="s">
        <v>28</v>
      </c>
      <c r="H23" t="s">
        <v>24</v>
      </c>
      <c r="I2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Johnsonriley.johnson240@example.comCanadaWorkshop: Excel Mastery0.91666666666666711DKosherSponsor</v>
      </c>
      <c r="J23" t="str">
        <f>IF(COUNTIF(EDA_Table[Temp ID],EDA_Table[[#This Row],[Temp ID]])&gt;1,"Duplicate","Unique")</f>
        <v>Duplicate</v>
      </c>
    </row>
    <row r="24" spans="1:10">
      <c r="A24" t="s">
        <v>66</v>
      </c>
      <c r="B24" t="s">
        <v>67</v>
      </c>
      <c r="C24" t="s">
        <v>68</v>
      </c>
      <c r="D24" t="s">
        <v>19</v>
      </c>
      <c r="E24" s="1">
        <v>0.77083333333333337</v>
      </c>
      <c r="F24" t="s">
        <v>63</v>
      </c>
      <c r="G24" t="s">
        <v>31</v>
      </c>
      <c r="H24" t="s">
        <v>16</v>
      </c>
      <c r="I2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Allencasey.allen429@example.comIndia 0.77083333333333311DNoneVIP</v>
      </c>
      <c r="J24" t="str">
        <f>IF(COUNTIF(EDA_Table[Temp ID],EDA_Table[[#This Row],[Temp ID]])&gt;1,"Duplicate","Unique")</f>
        <v>Unique</v>
      </c>
    </row>
    <row r="25" spans="1:10">
      <c r="A25" t="s">
        <v>69</v>
      </c>
      <c r="B25" t="s">
        <v>70</v>
      </c>
      <c r="C25" t="s">
        <v>27</v>
      </c>
      <c r="D25" t="s">
        <v>71</v>
      </c>
      <c r="E25" s="1">
        <v>0.5</v>
      </c>
      <c r="F25" t="s">
        <v>72</v>
      </c>
      <c r="G25" t="s">
        <v>15</v>
      </c>
      <c r="H25" t="s">
        <v>24</v>
      </c>
      <c r="I2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Clarkmorgan.clark774@example.comFranceWebinar: AI Ethics0.512AVegetarianSponsor</v>
      </c>
      <c r="J25" t="str">
        <f>IF(COUNTIF(EDA_Table[Temp ID],EDA_Table[[#This Row],[Temp ID]])&gt;1,"Duplicate","Unique")</f>
        <v>Unique</v>
      </c>
    </row>
    <row r="26" spans="1:10">
      <c r="A26" t="s">
        <v>73</v>
      </c>
      <c r="B26" t="s">
        <v>74</v>
      </c>
      <c r="C26" t="s">
        <v>55</v>
      </c>
      <c r="D26" t="s">
        <v>19</v>
      </c>
      <c r="E26" s="2">
        <v>0.75</v>
      </c>
      <c r="F26" t="s">
        <v>75</v>
      </c>
      <c r="G26" t="s">
        <v>19</v>
      </c>
      <c r="H26" t="s">
        <v>16</v>
      </c>
      <c r="I2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Smithtaylor.smith755@example.comBrazil 0.7512D VIP</v>
      </c>
      <c r="J26" t="str">
        <f>IF(COUNTIF(EDA_Table[Temp ID],EDA_Table[[#This Row],[Temp ID]])&gt;1,"Duplicate","Unique")</f>
        <v>Unique</v>
      </c>
    </row>
    <row r="27" spans="1:10">
      <c r="A27" t="s">
        <v>76</v>
      </c>
      <c r="B27" t="s">
        <v>77</v>
      </c>
      <c r="C27" t="s">
        <v>78</v>
      </c>
      <c r="D27" t="s">
        <v>79</v>
      </c>
      <c r="E27" s="1">
        <v>0.29166666666666669</v>
      </c>
      <c r="F27" t="s">
        <v>80</v>
      </c>
      <c r="G27" t="s">
        <v>31</v>
      </c>
      <c r="H27" t="s">
        <v>16</v>
      </c>
      <c r="I2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Clarkchris.clark783@example.comAustraliaPanel: Women in Tech0.29166666666666713CNoneVIP</v>
      </c>
      <c r="J27" t="str">
        <f>IF(COUNTIF(EDA_Table[Temp ID],EDA_Table[[#This Row],[Temp ID]])&gt;1,"Duplicate","Unique")</f>
        <v>Unique</v>
      </c>
    </row>
    <row r="28" spans="1:10">
      <c r="A28" t="s">
        <v>81</v>
      </c>
      <c r="B28" t="s">
        <v>82</v>
      </c>
      <c r="C28" t="s">
        <v>12</v>
      </c>
      <c r="E28" s="2">
        <v>0.54166666666666663</v>
      </c>
      <c r="F28" t="s">
        <v>80</v>
      </c>
      <c r="G28" t="s">
        <v>31</v>
      </c>
      <c r="H28" t="s">
        <v>16</v>
      </c>
      <c r="I2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Hallcasey.hall845@example.comUnited States0.54166666666666713CNoneVIP</v>
      </c>
      <c r="J28" t="str">
        <f>IF(COUNTIF(EDA_Table[Temp ID],EDA_Table[[#This Row],[Temp ID]])&gt;1,"Duplicate","Unique")</f>
        <v>Unique</v>
      </c>
    </row>
    <row r="29" spans="1:10">
      <c r="A29" t="s">
        <v>83</v>
      </c>
      <c r="B29" t="s">
        <v>84</v>
      </c>
      <c r="C29" t="s">
        <v>37</v>
      </c>
      <c r="D29" t="s">
        <v>50</v>
      </c>
      <c r="E29" s="1">
        <v>0.20833333333333334</v>
      </c>
      <c r="F29" t="s">
        <v>80</v>
      </c>
      <c r="H29" t="s">
        <v>24</v>
      </c>
      <c r="I2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Walkerchris.walker565@example.comCanadaWorkshop: Excel Mastery0.20833333333333313CSponsor</v>
      </c>
      <c r="J29" t="str">
        <f>IF(COUNTIF(EDA_Table[Temp ID],EDA_Table[[#This Row],[Temp ID]])&gt;1,"Duplicate","Unique")</f>
        <v>Unique</v>
      </c>
    </row>
    <row r="30" spans="1:10">
      <c r="A30" t="s">
        <v>85</v>
      </c>
      <c r="B30" t="s">
        <v>86</v>
      </c>
      <c r="C30" t="s">
        <v>78</v>
      </c>
      <c r="E30" s="2">
        <v>0.60416666666666663</v>
      </c>
      <c r="F30" t="s">
        <v>87</v>
      </c>
      <c r="G30" t="s">
        <v>19</v>
      </c>
      <c r="H30" t="s">
        <v>16</v>
      </c>
      <c r="I3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Jesse Johnsonjesse.johnson655@example.comAustralia0.60416666666666713D VIP</v>
      </c>
      <c r="J30" t="str">
        <f>IF(COUNTIF(EDA_Table[Temp ID],EDA_Table[[#This Row],[Temp ID]])&gt;1,"Duplicate","Unique")</f>
        <v>Duplicate</v>
      </c>
    </row>
    <row r="31" spans="1:10">
      <c r="A31" t="s">
        <v>85</v>
      </c>
      <c r="B31" t="s">
        <v>86</v>
      </c>
      <c r="C31" t="s">
        <v>78</v>
      </c>
      <c r="E31" s="2">
        <v>0.60416666666666663</v>
      </c>
      <c r="F31" t="s">
        <v>87</v>
      </c>
      <c r="G31" t="s">
        <v>19</v>
      </c>
      <c r="H31" t="s">
        <v>16</v>
      </c>
      <c r="I3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Jesse Johnsonjesse.johnson655@example.comAustralia0.60416666666666713D VIP</v>
      </c>
      <c r="J31" t="str">
        <f>IF(COUNTIF(EDA_Table[Temp ID],EDA_Table[[#This Row],[Temp ID]])&gt;1,"Duplicate","Unique")</f>
        <v>Duplicate</v>
      </c>
    </row>
    <row r="32" spans="1:10">
      <c r="A32" t="s">
        <v>88</v>
      </c>
      <c r="B32" t="s">
        <v>89</v>
      </c>
      <c r="C32" t="s">
        <v>78</v>
      </c>
      <c r="D32" t="s">
        <v>45</v>
      </c>
      <c r="E32" s="2">
        <v>0.625</v>
      </c>
      <c r="F32" t="s">
        <v>90</v>
      </c>
      <c r="G32" t="s">
        <v>91</v>
      </c>
      <c r="H32" t="s">
        <v>24</v>
      </c>
      <c r="I3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Lewisjordan.lewis455@example.comAustraliaKeynote: Future of Data0.62514AHalalSponsor</v>
      </c>
      <c r="J32" t="str">
        <f>IF(COUNTIF(EDA_Table[Temp ID],EDA_Table[[#This Row],[Temp ID]])&gt;1,"Duplicate","Unique")</f>
        <v>Unique</v>
      </c>
    </row>
    <row r="33" spans="1:10">
      <c r="A33" t="s">
        <v>92</v>
      </c>
      <c r="B33" t="s">
        <v>93</v>
      </c>
      <c r="C33" t="s">
        <v>12</v>
      </c>
      <c r="D33" t="s">
        <v>19</v>
      </c>
      <c r="E33" s="1">
        <v>0.4375</v>
      </c>
      <c r="F33" t="s">
        <v>90</v>
      </c>
      <c r="G33" t="s">
        <v>31</v>
      </c>
      <c r="H33" t="s">
        <v>24</v>
      </c>
      <c r="I3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Brownjordan.brown914@example.comUnited States 0.437514ANoneSponsor</v>
      </c>
      <c r="J33" t="str">
        <f>IF(COUNTIF(EDA_Table[Temp ID],EDA_Table[[#This Row],[Temp ID]])&gt;1,"Duplicate","Unique")</f>
        <v>Unique</v>
      </c>
    </row>
    <row r="34" spans="1:10">
      <c r="A34" t="s">
        <v>94</v>
      </c>
      <c r="B34" t="s">
        <v>95</v>
      </c>
      <c r="C34" t="s">
        <v>96</v>
      </c>
      <c r="D34" t="s">
        <v>71</v>
      </c>
      <c r="E34" s="1">
        <v>0.64583333333333337</v>
      </c>
      <c r="F34" t="s">
        <v>97</v>
      </c>
      <c r="G34" t="s">
        <v>19</v>
      </c>
      <c r="H34" t="s">
        <v>16</v>
      </c>
      <c r="I3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Brownalex.brown701@example.comUnited KingdomWebinar: AI Ethics0.64583333333333314B VIP</v>
      </c>
      <c r="J34" t="str">
        <f>IF(COUNTIF(EDA_Table[Temp ID],EDA_Table[[#This Row],[Temp ID]])&gt;1,"Duplicate","Unique")</f>
        <v>Duplicate</v>
      </c>
    </row>
    <row r="35" spans="1:10">
      <c r="A35" t="s">
        <v>94</v>
      </c>
      <c r="B35" t="s">
        <v>95</v>
      </c>
      <c r="C35" t="s">
        <v>96</v>
      </c>
      <c r="D35" t="s">
        <v>71</v>
      </c>
      <c r="E35" s="1">
        <v>0.64583333333333337</v>
      </c>
      <c r="F35" t="s">
        <v>97</v>
      </c>
      <c r="G35" t="s">
        <v>19</v>
      </c>
      <c r="H35" t="s">
        <v>16</v>
      </c>
      <c r="I3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Brownalex.brown701@example.comUnited KingdomWebinar: AI Ethics0.64583333333333314B VIP</v>
      </c>
      <c r="J35" t="str">
        <f>IF(COUNTIF(EDA_Table[Temp ID],EDA_Table[[#This Row],[Temp ID]])&gt;1,"Duplicate","Unique")</f>
        <v>Duplicate</v>
      </c>
    </row>
    <row r="36" spans="1:10">
      <c r="A36" t="s">
        <v>69</v>
      </c>
      <c r="B36" t="s">
        <v>98</v>
      </c>
      <c r="C36" t="s">
        <v>37</v>
      </c>
      <c r="D36" t="s">
        <v>45</v>
      </c>
      <c r="E36" s="1">
        <v>0.375</v>
      </c>
      <c r="F36" t="s">
        <v>97</v>
      </c>
      <c r="G36" t="s">
        <v>19</v>
      </c>
      <c r="H36" t="s">
        <v>24</v>
      </c>
      <c r="I3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Clarkmorgan.clark527@example.comCanadaKeynote: Future of Data0.37514B Sponsor</v>
      </c>
      <c r="J36" t="str">
        <f>IF(COUNTIF(EDA_Table[Temp ID],EDA_Table[[#This Row],[Temp ID]])&gt;1,"Duplicate","Unique")</f>
        <v>Duplicate</v>
      </c>
    </row>
    <row r="37" spans="1:10">
      <c r="A37" t="s">
        <v>69</v>
      </c>
      <c r="B37" t="s">
        <v>98</v>
      </c>
      <c r="C37" t="s">
        <v>37</v>
      </c>
      <c r="D37" t="s">
        <v>45</v>
      </c>
      <c r="E37" s="1">
        <v>0.375</v>
      </c>
      <c r="F37" t="s">
        <v>97</v>
      </c>
      <c r="G37" t="s">
        <v>19</v>
      </c>
      <c r="H37" t="s">
        <v>24</v>
      </c>
      <c r="I3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Clarkmorgan.clark527@example.comCanadaKeynote: Future of Data0.37514B Sponsor</v>
      </c>
      <c r="J37" t="str">
        <f>IF(COUNTIF(EDA_Table[Temp ID],EDA_Table[[#This Row],[Temp ID]])&gt;1,"Duplicate","Unique")</f>
        <v>Duplicate</v>
      </c>
    </row>
    <row r="38" spans="1:10">
      <c r="A38" t="s">
        <v>99</v>
      </c>
      <c r="B38" t="s">
        <v>100</v>
      </c>
      <c r="C38" t="s">
        <v>101</v>
      </c>
      <c r="D38" t="s">
        <v>45</v>
      </c>
      <c r="E38" s="2">
        <v>0.35416666666666669</v>
      </c>
      <c r="F38" t="s">
        <v>102</v>
      </c>
      <c r="H38" t="s">
        <v>16</v>
      </c>
      <c r="I3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Lewisdrew.lewis936@example.comJapanKeynote: Future of Data0.35416666666666714CVIP</v>
      </c>
      <c r="J38" t="str">
        <f>IF(COUNTIF(EDA_Table[Temp ID],EDA_Table[[#This Row],[Temp ID]])&gt;1,"Duplicate","Unique")</f>
        <v>Duplicate</v>
      </c>
    </row>
    <row r="39" spans="1:10">
      <c r="A39" t="s">
        <v>99</v>
      </c>
      <c r="B39" t="s">
        <v>100</v>
      </c>
      <c r="C39" t="s">
        <v>101</v>
      </c>
      <c r="D39" t="s">
        <v>45</v>
      </c>
      <c r="E39" s="2">
        <v>0.35416666666666669</v>
      </c>
      <c r="F39" t="s">
        <v>102</v>
      </c>
      <c r="H39" t="s">
        <v>16</v>
      </c>
      <c r="I3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Lewisdrew.lewis936@example.comJapanKeynote: Future of Data0.35416666666666714CVIP</v>
      </c>
      <c r="J39" t="str">
        <f>IF(COUNTIF(EDA_Table[Temp ID],EDA_Table[[#This Row],[Temp ID]])&gt;1,"Duplicate","Unique")</f>
        <v>Duplicate</v>
      </c>
    </row>
    <row r="40" spans="1:10">
      <c r="A40" t="s">
        <v>17</v>
      </c>
      <c r="B40" t="s">
        <v>103</v>
      </c>
      <c r="C40" t="s">
        <v>55</v>
      </c>
      <c r="D40" t="s">
        <v>50</v>
      </c>
      <c r="E40" s="2">
        <v>0.125</v>
      </c>
      <c r="F40" t="s">
        <v>104</v>
      </c>
      <c r="G40" t="s">
        <v>52</v>
      </c>
      <c r="H40" t="s">
        <v>24</v>
      </c>
      <c r="I4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Allenriley.allen171@example.comBrazilWorkshop: Excel Mastery0.12515AVeganSponsor</v>
      </c>
      <c r="J40" t="str">
        <f>IF(COUNTIF(EDA_Table[Temp ID],EDA_Table[[#This Row],[Temp ID]])&gt;1,"Duplicate","Unique")</f>
        <v>Unique</v>
      </c>
    </row>
    <row r="41" spans="1:10">
      <c r="A41" t="s">
        <v>105</v>
      </c>
      <c r="B41" t="s">
        <v>106</v>
      </c>
      <c r="C41" t="s">
        <v>55</v>
      </c>
      <c r="D41" t="s">
        <v>45</v>
      </c>
      <c r="E41" s="2">
        <v>0.60416666666666663</v>
      </c>
      <c r="F41" t="s">
        <v>107</v>
      </c>
      <c r="G41" t="s">
        <v>31</v>
      </c>
      <c r="H41" t="s">
        <v>39</v>
      </c>
      <c r="I4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Jesse Allenjesse.allen407@example.comBrazilKeynote: Future of Data0.60416666666666715CNoneAttendee</v>
      </c>
      <c r="J41" t="str">
        <f>IF(COUNTIF(EDA_Table[Temp ID],EDA_Table[[#This Row],[Temp ID]])&gt;1,"Duplicate","Unique")</f>
        <v>Unique</v>
      </c>
    </row>
    <row r="42" spans="1:10">
      <c r="A42" t="s">
        <v>108</v>
      </c>
      <c r="B42" t="s">
        <v>109</v>
      </c>
      <c r="C42" t="s">
        <v>27</v>
      </c>
      <c r="D42" t="s">
        <v>50</v>
      </c>
      <c r="E42" s="1">
        <v>0.375</v>
      </c>
      <c r="F42" t="s">
        <v>107</v>
      </c>
      <c r="G42" t="s">
        <v>19</v>
      </c>
      <c r="H42" t="s">
        <v>39</v>
      </c>
      <c r="I4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Wilsonjamie.wilson129@example.comFranceWorkshop: Excel Mastery0.37515C Attendee</v>
      </c>
      <c r="J42" t="str">
        <f>IF(COUNTIF(EDA_Table[Temp ID],EDA_Table[[#This Row],[Temp ID]])&gt;1,"Duplicate","Unique")</f>
        <v>Unique</v>
      </c>
    </row>
    <row r="43" spans="1:10">
      <c r="A43" t="s">
        <v>110</v>
      </c>
      <c r="B43" t="s">
        <v>111</v>
      </c>
      <c r="C43" t="s">
        <v>112</v>
      </c>
      <c r="D43" t="s">
        <v>71</v>
      </c>
      <c r="E43" s="1">
        <v>0.29166666666666669</v>
      </c>
      <c r="F43" t="s">
        <v>113</v>
      </c>
      <c r="G43" t="s">
        <v>91</v>
      </c>
      <c r="H43" t="s">
        <v>39</v>
      </c>
      <c r="I4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Leejordan.lee280@example.comNigeriaWebinar: AI Ethics0.29166666666666715DHalalAttendee</v>
      </c>
      <c r="J43" t="str">
        <f>IF(COUNTIF(EDA_Table[Temp ID],EDA_Table[[#This Row],[Temp ID]])&gt;1,"Duplicate","Unique")</f>
        <v>Unique</v>
      </c>
    </row>
    <row r="44" spans="1:10">
      <c r="A44" t="s">
        <v>114</v>
      </c>
      <c r="B44" t="s">
        <v>115</v>
      </c>
      <c r="D44" t="s">
        <v>13</v>
      </c>
      <c r="E44" s="2">
        <v>0.45833333333333331</v>
      </c>
      <c r="F44" t="s">
        <v>113</v>
      </c>
      <c r="G44" t="s">
        <v>91</v>
      </c>
      <c r="H44" t="s">
        <v>24</v>
      </c>
      <c r="I4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Wilsondrew.wilson671@example.comTraining: Dashboard Design0.45833333333333315DHalalSponsor</v>
      </c>
      <c r="J44" t="str">
        <f>IF(COUNTIF(EDA_Table[Temp ID],EDA_Table[[#This Row],[Temp ID]])&gt;1,"Duplicate","Unique")</f>
        <v>Unique</v>
      </c>
    </row>
    <row r="45" spans="1:10">
      <c r="A45" t="s">
        <v>61</v>
      </c>
      <c r="B45" t="s">
        <v>116</v>
      </c>
      <c r="C45" t="s">
        <v>55</v>
      </c>
      <c r="D45" t="s">
        <v>19</v>
      </c>
      <c r="E45" s="1">
        <v>0.83333333333333337</v>
      </c>
      <c r="F45" t="s">
        <v>113</v>
      </c>
      <c r="G45" t="s">
        <v>19</v>
      </c>
      <c r="H45" t="s">
        <v>39</v>
      </c>
      <c r="I4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Johnsonriley.johnson765@example.comBrazil 0.83333333333333315D Attendee</v>
      </c>
      <c r="J45" t="str">
        <f>IF(COUNTIF(EDA_Table[Temp ID],EDA_Table[[#This Row],[Temp ID]])&gt;1,"Duplicate","Unique")</f>
        <v>Unique</v>
      </c>
    </row>
    <row r="46" spans="1:10">
      <c r="A46" t="s">
        <v>117</v>
      </c>
      <c r="B46" t="s">
        <v>118</v>
      </c>
      <c r="C46" t="s">
        <v>34</v>
      </c>
      <c r="D46" t="s">
        <v>71</v>
      </c>
      <c r="E46" s="1">
        <v>0.27083333333333331</v>
      </c>
      <c r="F46" t="s">
        <v>113</v>
      </c>
      <c r="H46" t="s">
        <v>24</v>
      </c>
      <c r="I4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Wilsontaylor.wilson529@example.comGermanyWebinar: AI Ethics0.27083333333333315DSponsor</v>
      </c>
      <c r="J46" t="str">
        <f>IF(COUNTIF(EDA_Table[Temp ID],EDA_Table[[#This Row],[Temp ID]])&gt;1,"Duplicate","Unique")</f>
        <v>Unique</v>
      </c>
    </row>
    <row r="47" spans="1:10">
      <c r="A47" t="s">
        <v>119</v>
      </c>
      <c r="B47" t="s">
        <v>120</v>
      </c>
      <c r="C47" t="s">
        <v>12</v>
      </c>
      <c r="D47" t="s">
        <v>50</v>
      </c>
      <c r="E47" s="2">
        <v>8.3333333333333329E-2</v>
      </c>
      <c r="F47" t="s">
        <v>113</v>
      </c>
      <c r="H47" t="s">
        <v>24</v>
      </c>
      <c r="I4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Lewismorgan.lewis504@example.comUnited StatesWorkshop: Excel Mastery0.083333333333333315DSponsor</v>
      </c>
      <c r="J47" t="str">
        <f>IF(COUNTIF(EDA_Table[Temp ID],EDA_Table[[#This Row],[Temp ID]])&gt;1,"Duplicate","Unique")</f>
        <v>Unique</v>
      </c>
    </row>
    <row r="48" spans="1:10">
      <c r="A48" t="s">
        <v>121</v>
      </c>
      <c r="B48" t="s">
        <v>122</v>
      </c>
      <c r="D48" t="s">
        <v>50</v>
      </c>
      <c r="E48" s="2">
        <v>0.75</v>
      </c>
      <c r="F48" t="s">
        <v>113</v>
      </c>
      <c r="H48" t="s">
        <v>39</v>
      </c>
      <c r="I4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Jesse Lewisjesse.lewis635@example.comWorkshop: Excel Mastery0.7515DAttendee</v>
      </c>
      <c r="J48" t="str">
        <f>IF(COUNTIF(EDA_Table[Temp ID],EDA_Table[[#This Row],[Temp ID]])&gt;1,"Duplicate","Unique")</f>
        <v>Unique</v>
      </c>
    </row>
    <row r="49" spans="1:10">
      <c r="A49" t="s">
        <v>94</v>
      </c>
      <c r="B49" t="s">
        <v>123</v>
      </c>
      <c r="C49" t="s">
        <v>78</v>
      </c>
      <c r="D49" t="s">
        <v>50</v>
      </c>
      <c r="E49" s="1">
        <v>0.52083333333333337</v>
      </c>
      <c r="F49" t="s">
        <v>124</v>
      </c>
      <c r="G49" t="s">
        <v>28</v>
      </c>
      <c r="H49" t="s">
        <v>39</v>
      </c>
      <c r="I4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Brownalex.brown798@example.comAustraliaWorkshop: Excel Mastery0.52083333333333316AKosherAttendee</v>
      </c>
      <c r="J49" t="str">
        <f>IF(COUNTIF(EDA_Table[Temp ID],EDA_Table[[#This Row],[Temp ID]])&gt;1,"Duplicate","Unique")</f>
        <v>Unique</v>
      </c>
    </row>
    <row r="50" spans="1:10">
      <c r="A50" t="s">
        <v>35</v>
      </c>
      <c r="B50" t="s">
        <v>125</v>
      </c>
      <c r="C50" t="s">
        <v>78</v>
      </c>
      <c r="D50" t="s">
        <v>71</v>
      </c>
      <c r="E50" s="1">
        <v>0.22916666666666666</v>
      </c>
      <c r="F50" t="s">
        <v>124</v>
      </c>
      <c r="G50" t="s">
        <v>15</v>
      </c>
      <c r="H50" t="s">
        <v>24</v>
      </c>
      <c r="I5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Halltaylor.hall335@example.comAustraliaWebinar: AI Ethics0.22916666666666716AVegetarianSponsor</v>
      </c>
      <c r="J50" t="str">
        <f>IF(COUNTIF(EDA_Table[Temp ID],EDA_Table[[#This Row],[Temp ID]])&gt;1,"Duplicate","Unique")</f>
        <v>Unique</v>
      </c>
    </row>
    <row r="51" spans="1:10">
      <c r="A51" t="s">
        <v>81</v>
      </c>
      <c r="B51" t="s">
        <v>126</v>
      </c>
      <c r="C51" t="s">
        <v>37</v>
      </c>
      <c r="D51" t="s">
        <v>13</v>
      </c>
      <c r="E51" s="1">
        <v>0.625</v>
      </c>
      <c r="F51" t="s">
        <v>124</v>
      </c>
      <c r="G51" t="s">
        <v>91</v>
      </c>
      <c r="H51" t="s">
        <v>39</v>
      </c>
      <c r="I5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Hallcasey.hall336@example.comCanadaTraining: Dashboard Design0.62516AHalalAttendee</v>
      </c>
      <c r="J51" t="str">
        <f>IF(COUNTIF(EDA_Table[Temp ID],EDA_Table[[#This Row],[Temp ID]])&gt;1,"Duplicate","Unique")</f>
        <v>Unique</v>
      </c>
    </row>
    <row r="52" spans="1:10">
      <c r="A52" t="s">
        <v>127</v>
      </c>
      <c r="B52" t="s">
        <v>128</v>
      </c>
      <c r="D52" t="s">
        <v>71</v>
      </c>
      <c r="E52" s="2">
        <v>0.10416666666666667</v>
      </c>
      <c r="F52" t="s">
        <v>124</v>
      </c>
      <c r="G52" t="s">
        <v>52</v>
      </c>
      <c r="H52" t="s">
        <v>39</v>
      </c>
      <c r="I5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Lewiscasey.lewis191@example.comWebinar: AI Ethics0.10416666666666716AVeganAttendee</v>
      </c>
      <c r="J52" t="str">
        <f>IF(COUNTIF(EDA_Table[Temp ID],EDA_Table[[#This Row],[Temp ID]])&gt;1,"Duplicate","Unique")</f>
        <v>Unique</v>
      </c>
    </row>
    <row r="53" spans="1:10">
      <c r="A53" t="s">
        <v>108</v>
      </c>
      <c r="B53" t="s">
        <v>129</v>
      </c>
      <c r="C53" t="s">
        <v>96</v>
      </c>
      <c r="E53" s="1">
        <v>0.41666666666666669</v>
      </c>
      <c r="F53" t="s">
        <v>130</v>
      </c>
      <c r="G53" t="s">
        <v>28</v>
      </c>
      <c r="H53" t="s">
        <v>21</v>
      </c>
      <c r="I5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Wilsonjamie.wilson687@example.comUnited Kingdom0.41666666666666716BKosherSpeaker</v>
      </c>
      <c r="J53" t="str">
        <f>IF(COUNTIF(EDA_Table[Temp ID],EDA_Table[[#This Row],[Temp ID]])&gt;1,"Duplicate","Unique")</f>
        <v>Unique</v>
      </c>
    </row>
    <row r="54" spans="1:10">
      <c r="A54" t="s">
        <v>43</v>
      </c>
      <c r="B54" t="s">
        <v>131</v>
      </c>
      <c r="C54" t="s">
        <v>37</v>
      </c>
      <c r="D54" t="s">
        <v>79</v>
      </c>
      <c r="E54" s="2">
        <v>0.79166666666666663</v>
      </c>
      <c r="F54" t="s">
        <v>130</v>
      </c>
      <c r="G54" t="s">
        <v>19</v>
      </c>
      <c r="H54" t="s">
        <v>39</v>
      </c>
      <c r="I5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Wilsonmorgan.wilson683@example.comCanadaPanel: Women in Tech0.79166666666666716B Attendee</v>
      </c>
      <c r="J54" t="str">
        <f>IF(COUNTIF(EDA_Table[Temp ID],EDA_Table[[#This Row],[Temp ID]])&gt;1,"Duplicate","Unique")</f>
        <v>Unique</v>
      </c>
    </row>
    <row r="55" spans="1:10">
      <c r="A55" t="s">
        <v>66</v>
      </c>
      <c r="B55" t="s">
        <v>132</v>
      </c>
      <c r="C55" t="s">
        <v>19</v>
      </c>
      <c r="E55" s="2">
        <v>0.64583333333333337</v>
      </c>
      <c r="F55" t="s">
        <v>130</v>
      </c>
      <c r="H55" t="s">
        <v>39</v>
      </c>
      <c r="I5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Allencasey.allen200@example.com 0.64583333333333316BAttendee</v>
      </c>
      <c r="J55" t="str">
        <f>IF(COUNTIF(EDA_Table[Temp ID],EDA_Table[[#This Row],[Temp ID]])&gt;1,"Duplicate","Unique")</f>
        <v>Unique</v>
      </c>
    </row>
    <row r="56" spans="1:10">
      <c r="A56" t="s">
        <v>133</v>
      </c>
      <c r="B56" t="s">
        <v>134</v>
      </c>
      <c r="C56" t="s">
        <v>96</v>
      </c>
      <c r="D56" t="s">
        <v>13</v>
      </c>
      <c r="E56" s="1">
        <v>0.10416666666666667</v>
      </c>
      <c r="F56" t="s">
        <v>130</v>
      </c>
      <c r="G56" t="s">
        <v>31</v>
      </c>
      <c r="H56" t="s">
        <v>39</v>
      </c>
      <c r="I5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Walkerriley.walker901@example.comUnited KingdomTraining: Dashboard Design0.10416666666666716BNoneAttendee</v>
      </c>
      <c r="J56" t="str">
        <f>IF(COUNTIF(EDA_Table[Temp ID],EDA_Table[[#This Row],[Temp ID]])&gt;1,"Duplicate","Unique")</f>
        <v>Unique</v>
      </c>
    </row>
    <row r="57" spans="1:10">
      <c r="A57" t="s">
        <v>135</v>
      </c>
      <c r="B57" t="s">
        <v>136</v>
      </c>
      <c r="C57" t="s">
        <v>19</v>
      </c>
      <c r="D57" t="s">
        <v>71</v>
      </c>
      <c r="E57" s="2">
        <v>0.14583333333333334</v>
      </c>
      <c r="F57" t="s">
        <v>137</v>
      </c>
      <c r="G57" t="s">
        <v>52</v>
      </c>
      <c r="H57" t="s">
        <v>39</v>
      </c>
      <c r="I5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Leemorgan.lee562@example.com Webinar: AI Ethics0.14583333333333316CVeganAttendee</v>
      </c>
      <c r="J57" t="str">
        <f>IF(COUNTIF(EDA_Table[Temp ID],EDA_Table[[#This Row],[Temp ID]])&gt;1,"Duplicate","Unique")</f>
        <v>Unique</v>
      </c>
    </row>
    <row r="58" spans="1:10">
      <c r="A58" t="s">
        <v>138</v>
      </c>
      <c r="B58" t="s">
        <v>139</v>
      </c>
      <c r="C58" t="s">
        <v>112</v>
      </c>
      <c r="D58" t="s">
        <v>50</v>
      </c>
      <c r="E58" s="2">
        <v>0.95833333333333337</v>
      </c>
      <c r="F58" t="s">
        <v>137</v>
      </c>
      <c r="G58" t="s">
        <v>91</v>
      </c>
      <c r="H58" t="s">
        <v>24</v>
      </c>
      <c r="I5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Jesse Brownjesse.brown960@example.comNigeriaWorkshop: Excel Mastery0.95833333333333316CHalalSponsor</v>
      </c>
      <c r="J58" t="str">
        <f>IF(COUNTIF(EDA_Table[Temp ID],EDA_Table[[#This Row],[Temp ID]])&gt;1,"Duplicate","Unique")</f>
        <v>Unique</v>
      </c>
    </row>
    <row r="59" spans="1:10">
      <c r="A59" t="s">
        <v>140</v>
      </c>
      <c r="B59" t="s">
        <v>141</v>
      </c>
      <c r="C59" t="s">
        <v>78</v>
      </c>
      <c r="D59" t="s">
        <v>79</v>
      </c>
      <c r="E59" s="2">
        <v>0.41666666666666669</v>
      </c>
      <c r="F59" t="s">
        <v>137</v>
      </c>
      <c r="H59" t="s">
        <v>24</v>
      </c>
      <c r="I5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Allenjordan.allen748@example.comAustraliaPanel: Women in Tech0.41666666666666716CSponsor</v>
      </c>
      <c r="J59" t="str">
        <f>IF(COUNTIF(EDA_Table[Temp ID],EDA_Table[[#This Row],[Temp ID]])&gt;1,"Duplicate","Unique")</f>
        <v>Unique</v>
      </c>
    </row>
    <row r="60" spans="1:10">
      <c r="A60" t="s">
        <v>40</v>
      </c>
      <c r="B60" t="s">
        <v>142</v>
      </c>
      <c r="C60" t="s">
        <v>68</v>
      </c>
      <c r="E60" s="2">
        <v>0.375</v>
      </c>
      <c r="F60" t="s">
        <v>143</v>
      </c>
      <c r="G60" t="s">
        <v>28</v>
      </c>
      <c r="H60" t="s">
        <v>24</v>
      </c>
      <c r="I6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Allendrew.allen522@example.comIndia0.37516DKosherSponsor</v>
      </c>
      <c r="J60" t="str">
        <f>IF(COUNTIF(EDA_Table[Temp ID],EDA_Table[[#This Row],[Temp ID]])&gt;1,"Duplicate","Unique")</f>
        <v>Duplicate</v>
      </c>
    </row>
    <row r="61" spans="1:10">
      <c r="A61" t="s">
        <v>40</v>
      </c>
      <c r="B61" t="s">
        <v>142</v>
      </c>
      <c r="C61" t="s">
        <v>68</v>
      </c>
      <c r="E61" s="2">
        <v>0.375</v>
      </c>
      <c r="F61" t="s">
        <v>143</v>
      </c>
      <c r="G61" t="s">
        <v>28</v>
      </c>
      <c r="H61" t="s">
        <v>24</v>
      </c>
      <c r="I6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Allendrew.allen522@example.comIndia0.37516DKosherSponsor</v>
      </c>
      <c r="J61" t="str">
        <f>IF(COUNTIF(EDA_Table[Temp ID],EDA_Table[[#This Row],[Temp ID]])&gt;1,"Duplicate","Unique")</f>
        <v>Duplicate</v>
      </c>
    </row>
    <row r="62" spans="1:10">
      <c r="A62" t="s">
        <v>46</v>
      </c>
      <c r="B62" t="s">
        <v>144</v>
      </c>
      <c r="C62" t="s">
        <v>68</v>
      </c>
      <c r="D62" t="s">
        <v>71</v>
      </c>
      <c r="E62" s="2">
        <v>0</v>
      </c>
      <c r="F62" t="s">
        <v>145</v>
      </c>
      <c r="G62" t="s">
        <v>15</v>
      </c>
      <c r="H62" t="s">
        <v>39</v>
      </c>
      <c r="I6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Clarkalex.clark809@example.comIndiaWebinar: AI Ethics017AVegetarianAttendee</v>
      </c>
      <c r="J62" t="str">
        <f>IF(COUNTIF(EDA_Table[Temp ID],EDA_Table[[#This Row],[Temp ID]])&gt;1,"Duplicate","Unique")</f>
        <v>Duplicate</v>
      </c>
    </row>
    <row r="63" spans="1:10">
      <c r="A63" t="s">
        <v>99</v>
      </c>
      <c r="B63" t="s">
        <v>146</v>
      </c>
      <c r="C63" t="s">
        <v>101</v>
      </c>
      <c r="D63" t="s">
        <v>79</v>
      </c>
      <c r="E63" s="1">
        <v>0.60416666666666663</v>
      </c>
      <c r="F63" t="s">
        <v>145</v>
      </c>
      <c r="G63" t="s">
        <v>52</v>
      </c>
      <c r="H63" t="s">
        <v>39</v>
      </c>
      <c r="I6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Lewisdrew.lewis696@example.comJapanPanel: Women in Tech0.60416666666666717AVeganAttendee</v>
      </c>
      <c r="J63" t="str">
        <f>IF(COUNTIF(EDA_Table[Temp ID],EDA_Table[[#This Row],[Temp ID]])&gt;1,"Duplicate","Unique")</f>
        <v>Duplicate</v>
      </c>
    </row>
    <row r="64" spans="1:10">
      <c r="A64" t="s">
        <v>99</v>
      </c>
      <c r="B64" t="s">
        <v>146</v>
      </c>
      <c r="C64" t="s">
        <v>101</v>
      </c>
      <c r="D64" t="s">
        <v>79</v>
      </c>
      <c r="E64" s="1">
        <v>0.60416666666666663</v>
      </c>
      <c r="F64" t="s">
        <v>145</v>
      </c>
      <c r="G64" t="s">
        <v>52</v>
      </c>
      <c r="H64" t="s">
        <v>39</v>
      </c>
      <c r="I6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Lewisdrew.lewis696@example.comJapanPanel: Women in Tech0.60416666666666717AVeganAttendee</v>
      </c>
      <c r="J64" t="str">
        <f>IF(COUNTIF(EDA_Table[Temp ID],EDA_Table[[#This Row],[Temp ID]])&gt;1,"Duplicate","Unique")</f>
        <v>Duplicate</v>
      </c>
    </row>
    <row r="65" spans="1:10">
      <c r="A65" t="s">
        <v>46</v>
      </c>
      <c r="B65" t="s">
        <v>144</v>
      </c>
      <c r="C65" t="s">
        <v>68</v>
      </c>
      <c r="D65" t="s">
        <v>71</v>
      </c>
      <c r="E65" s="2">
        <v>0</v>
      </c>
      <c r="F65" t="s">
        <v>145</v>
      </c>
      <c r="G65" t="s">
        <v>15</v>
      </c>
      <c r="H65" t="s">
        <v>39</v>
      </c>
      <c r="I6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Clarkalex.clark809@example.comIndiaWebinar: AI Ethics017AVegetarianAttendee</v>
      </c>
      <c r="J65" t="str">
        <f>IF(COUNTIF(EDA_Table[Temp ID],EDA_Table[[#This Row],[Temp ID]])&gt;1,"Duplicate","Unique")</f>
        <v>Duplicate</v>
      </c>
    </row>
    <row r="66" spans="1:10">
      <c r="A66" t="s">
        <v>147</v>
      </c>
      <c r="B66" t="s">
        <v>148</v>
      </c>
      <c r="C66" t="s">
        <v>19</v>
      </c>
      <c r="E66" s="2">
        <v>0.58333333333333337</v>
      </c>
      <c r="F66" t="s">
        <v>149</v>
      </c>
      <c r="G66" t="s">
        <v>15</v>
      </c>
      <c r="H66" t="s">
        <v>24</v>
      </c>
      <c r="I6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Browntaylor.brown842@example.com 0.58333333333333317BVegetarianSponsor</v>
      </c>
      <c r="J66" t="str">
        <f>IF(COUNTIF(EDA_Table[Temp ID],EDA_Table[[#This Row],[Temp ID]])&gt;1,"Duplicate","Unique")</f>
        <v>Duplicate</v>
      </c>
    </row>
    <row r="67" spans="1:10">
      <c r="A67" t="s">
        <v>69</v>
      </c>
      <c r="B67" t="s">
        <v>150</v>
      </c>
      <c r="C67" t="s">
        <v>78</v>
      </c>
      <c r="E67" s="1">
        <v>0.625</v>
      </c>
      <c r="F67" t="s">
        <v>149</v>
      </c>
      <c r="G67" t="s">
        <v>52</v>
      </c>
      <c r="H67" t="s">
        <v>24</v>
      </c>
      <c r="I6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Clarkmorgan.clark217@example.comAustralia0.62517BVeganSponsor</v>
      </c>
      <c r="J67" t="str">
        <f>IF(COUNTIF(EDA_Table[Temp ID],EDA_Table[[#This Row],[Temp ID]])&gt;1,"Duplicate","Unique")</f>
        <v>Unique</v>
      </c>
    </row>
    <row r="68" spans="1:10">
      <c r="A68" t="s">
        <v>147</v>
      </c>
      <c r="B68" t="s">
        <v>148</v>
      </c>
      <c r="C68" t="s">
        <v>19</v>
      </c>
      <c r="E68" s="2">
        <v>0.58333333333333337</v>
      </c>
      <c r="F68" t="s">
        <v>149</v>
      </c>
      <c r="G68" t="s">
        <v>15</v>
      </c>
      <c r="H68" t="s">
        <v>24</v>
      </c>
      <c r="I6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Browntaylor.brown842@example.com 0.58333333333333317BVegetarianSponsor</v>
      </c>
      <c r="J68" t="str">
        <f>IF(COUNTIF(EDA_Table[Temp ID],EDA_Table[[#This Row],[Temp ID]])&gt;1,"Duplicate","Unique")</f>
        <v>Duplicate</v>
      </c>
    </row>
    <row r="69" spans="1:10">
      <c r="A69" t="s">
        <v>151</v>
      </c>
      <c r="B69" t="s">
        <v>152</v>
      </c>
      <c r="C69" t="s">
        <v>68</v>
      </c>
      <c r="D69" t="s">
        <v>19</v>
      </c>
      <c r="E69" s="2">
        <v>0.29166666666666669</v>
      </c>
      <c r="F69" t="s">
        <v>153</v>
      </c>
      <c r="G69" t="s">
        <v>15</v>
      </c>
      <c r="H69" t="s">
        <v>24</v>
      </c>
      <c r="I6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Clarkriley.clark42@example.comIndia 0.29166666666666717CVegetarianSponsor</v>
      </c>
      <c r="J69" t="str">
        <f>IF(COUNTIF(EDA_Table[Temp ID],EDA_Table[[#This Row],[Temp ID]])&gt;1,"Duplicate","Unique")</f>
        <v>Unique</v>
      </c>
    </row>
    <row r="70" spans="1:10">
      <c r="A70" t="s">
        <v>147</v>
      </c>
      <c r="B70" t="s">
        <v>154</v>
      </c>
      <c r="C70" t="s">
        <v>37</v>
      </c>
      <c r="D70" t="s">
        <v>71</v>
      </c>
      <c r="E70" s="1">
        <v>0.16666666666666666</v>
      </c>
      <c r="F70" t="s">
        <v>153</v>
      </c>
      <c r="G70" t="s">
        <v>91</v>
      </c>
      <c r="H70" t="s">
        <v>39</v>
      </c>
      <c r="I7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Browntaylor.brown941@example.comCanadaWebinar: AI Ethics0.16666666666666717CHalalAttendee</v>
      </c>
      <c r="J70" t="str">
        <f>IF(COUNTIF(EDA_Table[Temp ID],EDA_Table[[#This Row],[Temp ID]])&gt;1,"Duplicate","Unique")</f>
        <v>Unique</v>
      </c>
    </row>
    <row r="71" spans="1:10">
      <c r="A71" t="s">
        <v>155</v>
      </c>
      <c r="B71" t="s">
        <v>156</v>
      </c>
      <c r="C71" t="s">
        <v>96</v>
      </c>
      <c r="D71" t="s">
        <v>79</v>
      </c>
      <c r="E71" s="2">
        <v>0.75</v>
      </c>
      <c r="F71" t="s">
        <v>153</v>
      </c>
      <c r="H71" t="s">
        <v>39</v>
      </c>
      <c r="I7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Wilsoncasey.wilson458@example.comUnited KingdomPanel: Women in Tech0.7517CAttendee</v>
      </c>
      <c r="J71" t="str">
        <f>IF(COUNTIF(EDA_Table[Temp ID],EDA_Table[[#This Row],[Temp ID]])&gt;1,"Duplicate","Unique")</f>
        <v>Unique</v>
      </c>
    </row>
    <row r="72" spans="1:10">
      <c r="A72" t="s">
        <v>105</v>
      </c>
      <c r="B72" t="s">
        <v>157</v>
      </c>
      <c r="C72" t="s">
        <v>37</v>
      </c>
      <c r="D72" t="s">
        <v>45</v>
      </c>
      <c r="E72" s="1">
        <v>0.22916666666666666</v>
      </c>
      <c r="F72" t="s">
        <v>158</v>
      </c>
      <c r="H72" t="s">
        <v>24</v>
      </c>
      <c r="I7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Jesse Allenjesse.allen777@example.comCanadaKeynote: Future of Data0.22916666666666717DSponsor</v>
      </c>
      <c r="J72" t="str">
        <f>IF(COUNTIF(EDA_Table[Temp ID],EDA_Table[[#This Row],[Temp ID]])&gt;1,"Duplicate","Unique")</f>
        <v>Duplicate</v>
      </c>
    </row>
    <row r="73" spans="1:10">
      <c r="A73" t="s">
        <v>105</v>
      </c>
      <c r="B73" t="s">
        <v>157</v>
      </c>
      <c r="C73" t="s">
        <v>37</v>
      </c>
      <c r="D73" t="s">
        <v>45</v>
      </c>
      <c r="E73" s="1">
        <v>0.22916666666666666</v>
      </c>
      <c r="F73" t="s">
        <v>158</v>
      </c>
      <c r="H73" t="s">
        <v>24</v>
      </c>
      <c r="I7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Jesse Allenjesse.allen777@example.comCanadaKeynote: Future of Data0.22916666666666717DSponsor</v>
      </c>
      <c r="J73" t="str">
        <f>IF(COUNTIF(EDA_Table[Temp ID],EDA_Table[[#This Row],[Temp ID]])&gt;1,"Duplicate","Unique")</f>
        <v>Duplicate</v>
      </c>
    </row>
    <row r="74" spans="1:10">
      <c r="A74" t="s">
        <v>159</v>
      </c>
      <c r="B74" t="s">
        <v>160</v>
      </c>
      <c r="C74" t="s">
        <v>27</v>
      </c>
      <c r="D74" t="s">
        <v>50</v>
      </c>
      <c r="E74" s="1">
        <v>8.3333333333333329E-2</v>
      </c>
      <c r="F74" t="s">
        <v>161</v>
      </c>
      <c r="G74" t="s">
        <v>19</v>
      </c>
      <c r="H74" t="s">
        <v>24</v>
      </c>
      <c r="I7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Hallriley.hall367@example.comFranceWorkshop: Excel Mastery0.083333333333333318A Sponsor</v>
      </c>
      <c r="J74" t="str">
        <f>IF(COUNTIF(EDA_Table[Temp ID],EDA_Table[[#This Row],[Temp ID]])&gt;1,"Duplicate","Unique")</f>
        <v>Unique</v>
      </c>
    </row>
    <row r="75" spans="1:10">
      <c r="A75" t="s">
        <v>162</v>
      </c>
      <c r="B75" t="s">
        <v>163</v>
      </c>
      <c r="C75" t="s">
        <v>37</v>
      </c>
      <c r="D75" t="s">
        <v>19</v>
      </c>
      <c r="E75" s="2">
        <v>0.8125</v>
      </c>
      <c r="F75" t="s">
        <v>161</v>
      </c>
      <c r="H75" t="s">
        <v>39</v>
      </c>
      <c r="I7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Lewistaylor.lewis671@example.comCanada 0.812518AAttendee</v>
      </c>
      <c r="J75" t="str">
        <f>IF(COUNTIF(EDA_Table[Temp ID],EDA_Table[[#This Row],[Temp ID]])&gt;1,"Duplicate","Unique")</f>
        <v>Unique</v>
      </c>
    </row>
    <row r="76" spans="1:10">
      <c r="A76" t="s">
        <v>164</v>
      </c>
      <c r="B76" t="s">
        <v>165</v>
      </c>
      <c r="C76" t="s">
        <v>34</v>
      </c>
      <c r="D76" t="s">
        <v>13</v>
      </c>
      <c r="E76" s="1">
        <v>0.16666666666666666</v>
      </c>
      <c r="F76" t="s">
        <v>166</v>
      </c>
      <c r="G76" t="s">
        <v>15</v>
      </c>
      <c r="H76" t="s">
        <v>24</v>
      </c>
      <c r="I7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Hallalex.hall904@example.comGermanyTraining: Dashboard Design0.16666666666666718BVegetarianSponsor</v>
      </c>
      <c r="J76" t="str">
        <f>IF(COUNTIF(EDA_Table[Temp ID],EDA_Table[[#This Row],[Temp ID]])&gt;1,"Duplicate","Unique")</f>
        <v>Duplicate</v>
      </c>
    </row>
    <row r="77" spans="1:10">
      <c r="A77" t="s">
        <v>162</v>
      </c>
      <c r="B77" t="s">
        <v>167</v>
      </c>
      <c r="C77" t="s">
        <v>34</v>
      </c>
      <c r="E77" s="2">
        <v>0.54166666666666663</v>
      </c>
      <c r="F77" t="s">
        <v>166</v>
      </c>
      <c r="G77" t="s">
        <v>19</v>
      </c>
      <c r="H77" t="s">
        <v>39</v>
      </c>
      <c r="I7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Lewistaylor.lewis26@example.comGermany0.54166666666666718B Attendee</v>
      </c>
      <c r="J77" t="str">
        <f>IF(COUNTIF(EDA_Table[Temp ID],EDA_Table[[#This Row],[Temp ID]])&gt;1,"Duplicate","Unique")</f>
        <v>Unique</v>
      </c>
    </row>
    <row r="78" spans="1:10">
      <c r="A78" t="s">
        <v>168</v>
      </c>
      <c r="B78" t="s">
        <v>169</v>
      </c>
      <c r="C78" t="s">
        <v>96</v>
      </c>
      <c r="D78" t="s">
        <v>19</v>
      </c>
      <c r="E78" s="1">
        <v>0.14583333333333334</v>
      </c>
      <c r="F78" t="s">
        <v>166</v>
      </c>
      <c r="H78" t="s">
        <v>24</v>
      </c>
      <c r="I7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Johnsonchris.johnson587@example.comUnited Kingdom 0.14583333333333318BSponsor</v>
      </c>
      <c r="J78" t="str">
        <f>IF(COUNTIF(EDA_Table[Temp ID],EDA_Table[[#This Row],[Temp ID]])&gt;1,"Duplicate","Unique")</f>
        <v>Unique</v>
      </c>
    </row>
    <row r="79" spans="1:10">
      <c r="A79" t="s">
        <v>164</v>
      </c>
      <c r="B79" t="s">
        <v>165</v>
      </c>
      <c r="C79" t="s">
        <v>34</v>
      </c>
      <c r="D79" t="s">
        <v>13</v>
      </c>
      <c r="E79" s="1">
        <v>0.16666666666666666</v>
      </c>
      <c r="F79" t="s">
        <v>166</v>
      </c>
      <c r="G79" t="s">
        <v>15</v>
      </c>
      <c r="H79" t="s">
        <v>24</v>
      </c>
      <c r="I7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Hallalex.hall904@example.comGermanyTraining: Dashboard Design0.16666666666666718BVegetarianSponsor</v>
      </c>
      <c r="J79" t="str">
        <f>IF(COUNTIF(EDA_Table[Temp ID],EDA_Table[[#This Row],[Temp ID]])&gt;1,"Duplicate","Unique")</f>
        <v>Duplicate</v>
      </c>
    </row>
    <row r="80" spans="1:10">
      <c r="A80" t="s">
        <v>170</v>
      </c>
      <c r="B80" t="s">
        <v>171</v>
      </c>
      <c r="C80" t="s">
        <v>68</v>
      </c>
      <c r="D80" t="s">
        <v>71</v>
      </c>
      <c r="E80" s="1">
        <v>0.97916666666666663</v>
      </c>
      <c r="F80" t="s">
        <v>172</v>
      </c>
      <c r="G80" t="s">
        <v>91</v>
      </c>
      <c r="H80" t="s">
        <v>39</v>
      </c>
      <c r="I8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Halljordan.hall927@example.comIndiaWebinar: AI Ethics0.97916666666666718CHalalAttendee</v>
      </c>
      <c r="J80" t="str">
        <f>IF(COUNTIF(EDA_Table[Temp ID],EDA_Table[[#This Row],[Temp ID]])&gt;1,"Duplicate","Unique")</f>
        <v>Unique</v>
      </c>
    </row>
    <row r="81" spans="1:10">
      <c r="A81" t="s">
        <v>173</v>
      </c>
      <c r="B81" t="s">
        <v>174</v>
      </c>
      <c r="C81" t="s">
        <v>78</v>
      </c>
      <c r="D81" t="s">
        <v>19</v>
      </c>
      <c r="E81" s="1">
        <v>0.9375</v>
      </c>
      <c r="F81" t="s">
        <v>172</v>
      </c>
      <c r="G81" t="s">
        <v>91</v>
      </c>
      <c r="H81" t="s">
        <v>39</v>
      </c>
      <c r="I8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Allenchris.allen232@example.comAustralia 0.937518CHalalAttendee</v>
      </c>
      <c r="J81" t="str">
        <f>IF(COUNTIF(EDA_Table[Temp ID],EDA_Table[[#This Row],[Temp ID]])&gt;1,"Duplicate","Unique")</f>
        <v>Unique</v>
      </c>
    </row>
    <row r="82" spans="1:10">
      <c r="A82" t="s">
        <v>105</v>
      </c>
      <c r="B82" t="s">
        <v>175</v>
      </c>
      <c r="C82" t="s">
        <v>55</v>
      </c>
      <c r="D82" t="s">
        <v>71</v>
      </c>
      <c r="E82" s="2">
        <v>0.54166666666666663</v>
      </c>
      <c r="F82" t="s">
        <v>176</v>
      </c>
      <c r="G82" t="s">
        <v>91</v>
      </c>
      <c r="H82" t="s">
        <v>24</v>
      </c>
      <c r="I8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Jesse Allenjesse.allen904@example.comBrazilWebinar: AI Ethics0.54166666666666718DHalalSponsor</v>
      </c>
      <c r="J82" t="str">
        <f>IF(COUNTIF(EDA_Table[Temp ID],EDA_Table[[#This Row],[Temp ID]])&gt;1,"Duplicate","Unique")</f>
        <v>Duplicate</v>
      </c>
    </row>
    <row r="83" spans="1:10">
      <c r="A83" t="s">
        <v>105</v>
      </c>
      <c r="B83" t="s">
        <v>175</v>
      </c>
      <c r="C83" t="s">
        <v>55</v>
      </c>
      <c r="D83" t="s">
        <v>71</v>
      </c>
      <c r="E83" s="2">
        <v>0.54166666666666663</v>
      </c>
      <c r="F83" t="s">
        <v>176</v>
      </c>
      <c r="G83" t="s">
        <v>91</v>
      </c>
      <c r="H83" t="s">
        <v>24</v>
      </c>
      <c r="I8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Jesse Allenjesse.allen904@example.comBrazilWebinar: AI Ethics0.54166666666666718DHalalSponsor</v>
      </c>
      <c r="J83" t="str">
        <f>IF(COUNTIF(EDA_Table[Temp ID],EDA_Table[[#This Row],[Temp ID]])&gt;1,"Duplicate","Unique")</f>
        <v>Duplicate</v>
      </c>
    </row>
    <row r="84" spans="1:10">
      <c r="A84" t="s">
        <v>177</v>
      </c>
      <c r="B84" t="s">
        <v>178</v>
      </c>
      <c r="C84" t="s">
        <v>37</v>
      </c>
      <c r="E84" s="1">
        <v>0.35416666666666669</v>
      </c>
      <c r="F84" t="s">
        <v>176</v>
      </c>
      <c r="G84" t="s">
        <v>19</v>
      </c>
      <c r="H84" t="s">
        <v>39</v>
      </c>
      <c r="I8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Brownmorgan.brown473@example.comCanada0.35416666666666718D Attendee</v>
      </c>
      <c r="J84" t="str">
        <f>IF(COUNTIF(EDA_Table[Temp ID],EDA_Table[[#This Row],[Temp ID]])&gt;1,"Duplicate","Unique")</f>
        <v>Unique</v>
      </c>
    </row>
    <row r="85" spans="1:10">
      <c r="A85" t="s">
        <v>105</v>
      </c>
      <c r="B85" t="s">
        <v>179</v>
      </c>
      <c r="C85" t="s">
        <v>12</v>
      </c>
      <c r="D85" t="s">
        <v>50</v>
      </c>
      <c r="E85" s="1">
        <v>0.41666666666666669</v>
      </c>
      <c r="F85" t="s">
        <v>176</v>
      </c>
      <c r="H85" t="s">
        <v>39</v>
      </c>
      <c r="I8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Jesse Allenjesse.allen87@example.comUnited StatesWorkshop: Excel Mastery0.41666666666666718DAttendee</v>
      </c>
      <c r="J85" t="str">
        <f>IF(COUNTIF(EDA_Table[Temp ID],EDA_Table[[#This Row],[Temp ID]])&gt;1,"Duplicate","Unique")</f>
        <v>Unique</v>
      </c>
    </row>
    <row r="86" spans="1:10">
      <c r="A86" t="s">
        <v>180</v>
      </c>
      <c r="B86" t="s">
        <v>181</v>
      </c>
      <c r="C86" t="s">
        <v>12</v>
      </c>
      <c r="D86" t="s">
        <v>19</v>
      </c>
      <c r="E86" s="2">
        <v>0.83333333333333337</v>
      </c>
      <c r="F86" t="s">
        <v>182</v>
      </c>
      <c r="G86" t="s">
        <v>91</v>
      </c>
      <c r="H86" t="s">
        <v>24</v>
      </c>
      <c r="I8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Allentaylor.allen873@example.comUnited States 0.83333333333333319AHalalSponsor</v>
      </c>
      <c r="J86" t="str">
        <f>IF(COUNTIF(EDA_Table[Temp ID],EDA_Table[[#This Row],[Temp ID]])&gt;1,"Duplicate","Unique")</f>
        <v>Unique</v>
      </c>
    </row>
    <row r="87" spans="1:10">
      <c r="A87" t="s">
        <v>183</v>
      </c>
      <c r="B87" t="s">
        <v>184</v>
      </c>
      <c r="C87" t="s">
        <v>19</v>
      </c>
      <c r="D87" t="s">
        <v>71</v>
      </c>
      <c r="E87" s="2">
        <v>0.125</v>
      </c>
      <c r="F87" t="s">
        <v>185</v>
      </c>
      <c r="G87" t="s">
        <v>91</v>
      </c>
      <c r="H87" t="s">
        <v>39</v>
      </c>
      <c r="I8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Walkermorgan.walker284@example.com Webinar: AI Ethics0.12519BHalalAttendee</v>
      </c>
      <c r="J87" t="str">
        <f>IF(COUNTIF(EDA_Table[Temp ID],EDA_Table[[#This Row],[Temp ID]])&gt;1,"Duplicate","Unique")</f>
        <v>Duplicate</v>
      </c>
    </row>
    <row r="88" spans="1:10">
      <c r="A88" t="s">
        <v>40</v>
      </c>
      <c r="B88" t="s">
        <v>186</v>
      </c>
      <c r="C88" t="s">
        <v>55</v>
      </c>
      <c r="D88" t="s">
        <v>50</v>
      </c>
      <c r="E88" s="1">
        <v>0.3125</v>
      </c>
      <c r="F88" t="s">
        <v>185</v>
      </c>
      <c r="G88" t="s">
        <v>15</v>
      </c>
      <c r="H88" t="s">
        <v>24</v>
      </c>
      <c r="I8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Allendrew.allen806@example.comBrazilWorkshop: Excel Mastery0.312519BVegetarianSponsor</v>
      </c>
      <c r="J88" t="str">
        <f>IF(COUNTIF(EDA_Table[Temp ID],EDA_Table[[#This Row],[Temp ID]])&gt;1,"Duplicate","Unique")</f>
        <v>Unique</v>
      </c>
    </row>
    <row r="89" spans="1:10">
      <c r="A89" t="s">
        <v>61</v>
      </c>
      <c r="B89" t="s">
        <v>187</v>
      </c>
      <c r="C89" t="s">
        <v>19</v>
      </c>
      <c r="E89" s="2">
        <v>0.16666666666666666</v>
      </c>
      <c r="F89" t="s">
        <v>185</v>
      </c>
      <c r="G89" t="s">
        <v>52</v>
      </c>
      <c r="H89" t="s">
        <v>39</v>
      </c>
      <c r="I8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Johnsonriley.johnson434@example.com 0.16666666666666719BVeganAttendee</v>
      </c>
      <c r="J89" t="str">
        <f>IF(COUNTIF(EDA_Table[Temp ID],EDA_Table[[#This Row],[Temp ID]])&gt;1,"Duplicate","Unique")</f>
        <v>Duplicate</v>
      </c>
    </row>
    <row r="90" spans="1:10">
      <c r="A90" t="s">
        <v>188</v>
      </c>
      <c r="B90" t="s">
        <v>189</v>
      </c>
      <c r="C90" t="s">
        <v>68</v>
      </c>
      <c r="D90" t="s">
        <v>71</v>
      </c>
      <c r="E90" s="1">
        <v>4.1666666666666664E-2</v>
      </c>
      <c r="F90" t="s">
        <v>185</v>
      </c>
      <c r="G90" t="s">
        <v>19</v>
      </c>
      <c r="H90" t="s">
        <v>39</v>
      </c>
      <c r="I9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Lewisalex.lewis450@example.comIndiaWebinar: AI Ethics0.041666666666666719B Attendee</v>
      </c>
      <c r="J90" t="str">
        <f>IF(COUNTIF(EDA_Table[Temp ID],EDA_Table[[#This Row],[Temp ID]])&gt;1,"Duplicate","Unique")</f>
        <v>Unique</v>
      </c>
    </row>
    <row r="91" spans="1:10">
      <c r="A91" t="s">
        <v>190</v>
      </c>
      <c r="B91" t="s">
        <v>191</v>
      </c>
      <c r="C91" t="s">
        <v>27</v>
      </c>
      <c r="D91" t="s">
        <v>19</v>
      </c>
      <c r="E91" s="1">
        <v>0.4375</v>
      </c>
      <c r="F91" t="s">
        <v>185</v>
      </c>
      <c r="G91" t="s">
        <v>31</v>
      </c>
      <c r="H91" t="s">
        <v>39</v>
      </c>
      <c r="I9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Johnsoncasey.johnson9@example.comFrance 0.437519BNoneAttendee</v>
      </c>
      <c r="J91" t="str">
        <f>IF(COUNTIF(EDA_Table[Temp ID],EDA_Table[[#This Row],[Temp ID]])&gt;1,"Duplicate","Unique")</f>
        <v>Unique</v>
      </c>
    </row>
    <row r="92" spans="1:10">
      <c r="A92" t="s">
        <v>183</v>
      </c>
      <c r="B92" t="s">
        <v>184</v>
      </c>
      <c r="C92" t="s">
        <v>19</v>
      </c>
      <c r="D92" t="s">
        <v>71</v>
      </c>
      <c r="E92" s="2">
        <v>0.125</v>
      </c>
      <c r="F92" t="s">
        <v>185</v>
      </c>
      <c r="G92" t="s">
        <v>91</v>
      </c>
      <c r="H92" t="s">
        <v>39</v>
      </c>
      <c r="I9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Walkermorgan.walker284@example.com Webinar: AI Ethics0.12519BHalalAttendee</v>
      </c>
      <c r="J92" t="str">
        <f>IF(COUNTIF(EDA_Table[Temp ID],EDA_Table[[#This Row],[Temp ID]])&gt;1,"Duplicate","Unique")</f>
        <v>Duplicate</v>
      </c>
    </row>
    <row r="93" spans="1:10">
      <c r="A93" t="s">
        <v>61</v>
      </c>
      <c r="B93" t="s">
        <v>187</v>
      </c>
      <c r="C93" t="s">
        <v>19</v>
      </c>
      <c r="E93" s="2">
        <v>0.16666666666666666</v>
      </c>
      <c r="F93" t="s">
        <v>185</v>
      </c>
      <c r="G93" t="s">
        <v>52</v>
      </c>
      <c r="H93" t="s">
        <v>39</v>
      </c>
      <c r="I9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Johnsonriley.johnson434@example.com 0.16666666666666719BVeganAttendee</v>
      </c>
      <c r="J93" t="str">
        <f>IF(COUNTIF(EDA_Table[Temp ID],EDA_Table[[#This Row],[Temp ID]])&gt;1,"Duplicate","Unique")</f>
        <v>Duplicate</v>
      </c>
    </row>
    <row r="94" spans="1:10">
      <c r="A94" t="s">
        <v>121</v>
      </c>
      <c r="B94" t="s">
        <v>192</v>
      </c>
      <c r="C94" t="s">
        <v>55</v>
      </c>
      <c r="E94" s="1">
        <v>0</v>
      </c>
      <c r="F94" t="s">
        <v>193</v>
      </c>
      <c r="G94" t="s">
        <v>28</v>
      </c>
      <c r="H94" t="s">
        <v>24</v>
      </c>
      <c r="I9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Jesse Lewisjesse.lewis677@example.comBrazil019CKosherSponsor</v>
      </c>
      <c r="J94" t="str">
        <f>IF(COUNTIF(EDA_Table[Temp ID],EDA_Table[[#This Row],[Temp ID]])&gt;1,"Duplicate","Unique")</f>
        <v>Unique</v>
      </c>
    </row>
    <row r="95" spans="1:10">
      <c r="A95" t="s">
        <v>88</v>
      </c>
      <c r="B95" t="s">
        <v>194</v>
      </c>
      <c r="D95" t="s">
        <v>19</v>
      </c>
      <c r="E95" s="2">
        <v>0.95833333333333337</v>
      </c>
      <c r="F95" t="s">
        <v>193</v>
      </c>
      <c r="G95" t="s">
        <v>91</v>
      </c>
      <c r="H95" t="s">
        <v>39</v>
      </c>
      <c r="I9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Lewisjordan.lewis363@example.com 0.95833333333333319CHalalAttendee</v>
      </c>
      <c r="J95" t="str">
        <f>IF(COUNTIF(EDA_Table[Temp ID],EDA_Table[[#This Row],[Temp ID]])&gt;1,"Duplicate","Unique")</f>
        <v>Unique</v>
      </c>
    </row>
    <row r="96" spans="1:10">
      <c r="A96" t="s">
        <v>133</v>
      </c>
      <c r="B96" t="s">
        <v>195</v>
      </c>
      <c r="C96" t="s">
        <v>12</v>
      </c>
      <c r="D96" t="s">
        <v>50</v>
      </c>
      <c r="E96" s="2">
        <v>0.70833333333333337</v>
      </c>
      <c r="F96" t="s">
        <v>196</v>
      </c>
      <c r="H96" t="s">
        <v>39</v>
      </c>
      <c r="I9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Walkerriley.walker779@example.comUnited StatesWorkshop: Excel Mastery0.70833333333333319DAttendee</v>
      </c>
      <c r="J96" t="str">
        <f>IF(COUNTIF(EDA_Table[Temp ID],EDA_Table[[#This Row],[Temp ID]])&gt;1,"Duplicate","Unique")</f>
        <v>Unique</v>
      </c>
    </row>
    <row r="97" spans="1:10">
      <c r="A97" t="s">
        <v>197</v>
      </c>
      <c r="B97" t="s">
        <v>198</v>
      </c>
      <c r="D97" t="s">
        <v>71</v>
      </c>
      <c r="E97" s="1">
        <v>0.75</v>
      </c>
      <c r="F97" t="s">
        <v>196</v>
      </c>
      <c r="G97" t="s">
        <v>52</v>
      </c>
      <c r="H97" t="s">
        <v>24</v>
      </c>
      <c r="I9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Lewisjamie.lewis475@example.comWebinar: AI Ethics0.7519DVeganSponsor</v>
      </c>
      <c r="J97" t="str">
        <f>IF(COUNTIF(EDA_Table[Temp ID],EDA_Table[[#This Row],[Temp ID]])&gt;1,"Duplicate","Unique")</f>
        <v>Unique</v>
      </c>
    </row>
    <row r="98" spans="1:10">
      <c r="A98" t="s">
        <v>94</v>
      </c>
      <c r="B98" t="s">
        <v>199</v>
      </c>
      <c r="C98" t="s">
        <v>101</v>
      </c>
      <c r="D98" t="s">
        <v>45</v>
      </c>
      <c r="E98" s="2">
        <v>0.5</v>
      </c>
      <c r="F98" t="s">
        <v>196</v>
      </c>
      <c r="G98" t="s">
        <v>28</v>
      </c>
      <c r="H98" t="s">
        <v>39</v>
      </c>
      <c r="I9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Brownalex.brown363@example.comJapanKeynote: Future of Data0.519DKosherAttendee</v>
      </c>
      <c r="J98" t="str">
        <f>IF(COUNTIF(EDA_Table[Temp ID],EDA_Table[[#This Row],[Temp ID]])&gt;1,"Duplicate","Unique")</f>
        <v>Unique</v>
      </c>
    </row>
    <row r="99" spans="1:10">
      <c r="A99" t="s">
        <v>164</v>
      </c>
      <c r="B99" t="s">
        <v>200</v>
      </c>
      <c r="C99" t="s">
        <v>68</v>
      </c>
      <c r="E99" s="2">
        <v>0.41666666666666669</v>
      </c>
      <c r="F99" t="s">
        <v>201</v>
      </c>
      <c r="H99" t="s">
        <v>24</v>
      </c>
      <c r="I9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Hallalex.hall509@example.comIndia0.4166666666666671ASponsor</v>
      </c>
      <c r="J99" t="str">
        <f>IF(COUNTIF(EDA_Table[Temp ID],EDA_Table[[#This Row],[Temp ID]])&gt;1,"Duplicate","Unique")</f>
        <v>Duplicate</v>
      </c>
    </row>
    <row r="100" spans="1:10">
      <c r="A100" t="s">
        <v>164</v>
      </c>
      <c r="B100" t="s">
        <v>200</v>
      </c>
      <c r="C100" t="s">
        <v>68</v>
      </c>
      <c r="E100" s="2">
        <v>0.41666666666666669</v>
      </c>
      <c r="F100" t="s">
        <v>201</v>
      </c>
      <c r="H100" t="s">
        <v>24</v>
      </c>
      <c r="I10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Hallalex.hall509@example.comIndia0.4166666666666671ASponsor</v>
      </c>
      <c r="J100" t="str">
        <f>IF(COUNTIF(EDA_Table[Temp ID],EDA_Table[[#This Row],[Temp ID]])&gt;1,"Duplicate","Unique")</f>
        <v>Duplicate</v>
      </c>
    </row>
    <row r="101" spans="1:10">
      <c r="A101" t="s">
        <v>202</v>
      </c>
      <c r="B101" t="s">
        <v>203</v>
      </c>
      <c r="C101" t="s">
        <v>27</v>
      </c>
      <c r="D101" t="s">
        <v>79</v>
      </c>
      <c r="E101" s="2">
        <v>0.54166666666666663</v>
      </c>
      <c r="F101" t="s">
        <v>204</v>
      </c>
      <c r="G101" t="s">
        <v>15</v>
      </c>
      <c r="H101" t="s">
        <v>39</v>
      </c>
      <c r="I10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Jesse Leejesse.lee580@example.comFrancePanel: Women in Tech0.5416666666666671CVegetarianAttendee</v>
      </c>
      <c r="J101" t="str">
        <f>IF(COUNTIF(EDA_Table[Temp ID],EDA_Table[[#This Row],[Temp ID]])&gt;1,"Duplicate","Unique")</f>
        <v>Unique</v>
      </c>
    </row>
    <row r="102" spans="1:10">
      <c r="A102" t="s">
        <v>205</v>
      </c>
      <c r="B102" t="s">
        <v>206</v>
      </c>
      <c r="D102" t="s">
        <v>79</v>
      </c>
      <c r="E102" s="1">
        <v>0.72916666666666663</v>
      </c>
      <c r="F102" t="s">
        <v>204</v>
      </c>
      <c r="G102" t="s">
        <v>31</v>
      </c>
      <c r="H102" t="s">
        <v>21</v>
      </c>
      <c r="I10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Johnsondrew.johnson788@example.comPanel: Women in Tech0.7291666666666671CNoneSpeaker</v>
      </c>
      <c r="J102" t="str">
        <f>IF(COUNTIF(EDA_Table[Temp ID],EDA_Table[[#This Row],[Temp ID]])&gt;1,"Duplicate","Unique")</f>
        <v>Unique</v>
      </c>
    </row>
    <row r="103" spans="1:10">
      <c r="A103" t="s">
        <v>207</v>
      </c>
      <c r="B103" t="s">
        <v>208</v>
      </c>
      <c r="D103" t="s">
        <v>13</v>
      </c>
      <c r="E103" s="1">
        <v>0.83333333333333337</v>
      </c>
      <c r="F103" t="s">
        <v>209</v>
      </c>
      <c r="G103" t="s">
        <v>91</v>
      </c>
      <c r="H103" t="s">
        <v>39</v>
      </c>
      <c r="I10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Wilsonchris.wilson739@example.comTraining: Dashboard Design0.8333333333333331DHalalAttendee</v>
      </c>
      <c r="J103" t="str">
        <f>IF(COUNTIF(EDA_Table[Temp ID],EDA_Table[[#This Row],[Temp ID]])&gt;1,"Duplicate","Unique")</f>
        <v>Unique</v>
      </c>
    </row>
    <row r="104" spans="1:10">
      <c r="A104" t="s">
        <v>135</v>
      </c>
      <c r="B104" t="s">
        <v>210</v>
      </c>
      <c r="C104" t="s">
        <v>112</v>
      </c>
      <c r="D104" t="s">
        <v>13</v>
      </c>
      <c r="E104" s="1">
        <v>0.79166666666666663</v>
      </c>
      <c r="F104" t="s">
        <v>209</v>
      </c>
      <c r="G104" t="s">
        <v>91</v>
      </c>
      <c r="H104" t="s">
        <v>39</v>
      </c>
      <c r="I10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Leemorgan.lee417@example.comNigeriaTraining: Dashboard Design0.7916666666666671DHalalAttendee</v>
      </c>
      <c r="J104" t="str">
        <f>IF(COUNTIF(EDA_Table[Temp ID],EDA_Table[[#This Row],[Temp ID]])&gt;1,"Duplicate","Unique")</f>
        <v>Unique</v>
      </c>
    </row>
    <row r="105" spans="1:10">
      <c r="A105" t="s">
        <v>211</v>
      </c>
      <c r="B105" t="s">
        <v>212</v>
      </c>
      <c r="C105" t="s">
        <v>68</v>
      </c>
      <c r="D105" t="s">
        <v>19</v>
      </c>
      <c r="E105" s="1">
        <v>0.72916666666666663</v>
      </c>
      <c r="F105" t="s">
        <v>209</v>
      </c>
      <c r="H105" t="s">
        <v>39</v>
      </c>
      <c r="I10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Johnsonmorgan.johnson969@example.comIndia 0.7291666666666671DAttendee</v>
      </c>
      <c r="J105" t="str">
        <f>IF(COUNTIF(EDA_Table[Temp ID],EDA_Table[[#This Row],[Temp ID]])&gt;1,"Duplicate","Unique")</f>
        <v>Unique</v>
      </c>
    </row>
    <row r="106" spans="1:10">
      <c r="A106" t="s">
        <v>53</v>
      </c>
      <c r="B106" t="s">
        <v>213</v>
      </c>
      <c r="D106" t="s">
        <v>71</v>
      </c>
      <c r="E106" s="1">
        <v>0.5</v>
      </c>
      <c r="F106" t="s">
        <v>209</v>
      </c>
      <c r="G106" t="s">
        <v>52</v>
      </c>
      <c r="H106" t="s">
        <v>39</v>
      </c>
      <c r="I10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Brownriley.brown30@example.comWebinar: AI Ethics0.51DVeganAttendee</v>
      </c>
      <c r="J106" t="str">
        <f>IF(COUNTIF(EDA_Table[Temp ID],EDA_Table[[#This Row],[Temp ID]])&gt;1,"Duplicate","Unique")</f>
        <v>Unique</v>
      </c>
    </row>
    <row r="107" spans="1:10">
      <c r="A107" t="s">
        <v>214</v>
      </c>
      <c r="B107" t="s">
        <v>215</v>
      </c>
      <c r="C107" t="s">
        <v>68</v>
      </c>
      <c r="D107" t="s">
        <v>13</v>
      </c>
      <c r="E107" s="2">
        <v>0.89583333333333337</v>
      </c>
      <c r="F107" t="s">
        <v>216</v>
      </c>
      <c r="G107" t="s">
        <v>52</v>
      </c>
      <c r="H107" t="s">
        <v>39</v>
      </c>
      <c r="I10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Clarkjordan.clark211@example.comIndiaTraining: Dashboard Design0.89583333333333320BVeganAttendee</v>
      </c>
      <c r="J107" t="str">
        <f>IF(COUNTIF(EDA_Table[Temp ID],EDA_Table[[#This Row],[Temp ID]])&gt;1,"Duplicate","Unique")</f>
        <v>Unique</v>
      </c>
    </row>
    <row r="108" spans="1:10">
      <c r="A108" t="s">
        <v>114</v>
      </c>
      <c r="B108" t="s">
        <v>217</v>
      </c>
      <c r="C108" t="s">
        <v>78</v>
      </c>
      <c r="D108" t="s">
        <v>13</v>
      </c>
      <c r="E108" s="2">
        <v>0.22916666666666666</v>
      </c>
      <c r="F108" t="s">
        <v>218</v>
      </c>
      <c r="G108" t="s">
        <v>19</v>
      </c>
      <c r="H108" t="s">
        <v>39</v>
      </c>
      <c r="I10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Wilsondrew.wilson386@example.comAustraliaTraining: Dashboard Design0.22916666666666720C Attendee</v>
      </c>
      <c r="J108" t="str">
        <f>IF(COUNTIF(EDA_Table[Temp ID],EDA_Table[[#This Row],[Temp ID]])&gt;1,"Duplicate","Unique")</f>
        <v>Unique</v>
      </c>
    </row>
    <row r="109" spans="1:10">
      <c r="A109" t="s">
        <v>121</v>
      </c>
      <c r="B109" t="s">
        <v>219</v>
      </c>
      <c r="C109" t="s">
        <v>55</v>
      </c>
      <c r="D109" t="s">
        <v>13</v>
      </c>
      <c r="E109" s="2">
        <v>0.54166666666666663</v>
      </c>
      <c r="F109" t="s">
        <v>218</v>
      </c>
      <c r="G109" t="s">
        <v>31</v>
      </c>
      <c r="H109" t="s">
        <v>39</v>
      </c>
      <c r="I10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Jesse Lewisjesse.lewis824@example.comBrazilTraining: Dashboard Design0.54166666666666720CNoneAttendee</v>
      </c>
      <c r="J109" t="str">
        <f>IF(COUNTIF(EDA_Table[Temp ID],EDA_Table[[#This Row],[Temp ID]])&gt;1,"Duplicate","Unique")</f>
        <v>Unique</v>
      </c>
    </row>
    <row r="110" spans="1:10">
      <c r="A110" t="s">
        <v>85</v>
      </c>
      <c r="B110" t="s">
        <v>220</v>
      </c>
      <c r="C110" t="s">
        <v>19</v>
      </c>
      <c r="D110" t="s">
        <v>19</v>
      </c>
      <c r="E110" s="2">
        <v>0.29166666666666669</v>
      </c>
      <c r="F110" t="s">
        <v>221</v>
      </c>
      <c r="G110" t="s">
        <v>19</v>
      </c>
      <c r="H110" t="s">
        <v>39</v>
      </c>
      <c r="I11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Jesse Johnsonjesse.johnson771@example.com  0.29166666666666720D Attendee</v>
      </c>
      <c r="J110" t="str">
        <f>IF(COUNTIF(EDA_Table[Temp ID],EDA_Table[[#This Row],[Temp ID]])&gt;1,"Duplicate","Unique")</f>
        <v>Unique</v>
      </c>
    </row>
    <row r="111" spans="1:10">
      <c r="A111" t="s">
        <v>173</v>
      </c>
      <c r="B111" t="s">
        <v>222</v>
      </c>
      <c r="C111" t="s">
        <v>34</v>
      </c>
      <c r="D111" t="s">
        <v>79</v>
      </c>
      <c r="E111" s="1">
        <v>0.41666666666666669</v>
      </c>
      <c r="F111" t="s">
        <v>221</v>
      </c>
      <c r="G111" t="s">
        <v>15</v>
      </c>
      <c r="H111" t="s">
        <v>39</v>
      </c>
      <c r="I11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Allenchris.allen895@example.comGermanyPanel: Women in Tech0.41666666666666720DVegetarianAttendee</v>
      </c>
      <c r="J111" t="str">
        <f>IF(COUNTIF(EDA_Table[Temp ID],EDA_Table[[#This Row],[Temp ID]])&gt;1,"Duplicate","Unique")</f>
        <v>Unique</v>
      </c>
    </row>
    <row r="112" spans="1:10">
      <c r="A112" t="s">
        <v>223</v>
      </c>
      <c r="B112" t="s">
        <v>224</v>
      </c>
      <c r="D112" t="s">
        <v>79</v>
      </c>
      <c r="E112" s="1">
        <v>0.6875</v>
      </c>
      <c r="F112" t="s">
        <v>221</v>
      </c>
      <c r="G112" t="s">
        <v>19</v>
      </c>
      <c r="H112" t="s">
        <v>39</v>
      </c>
      <c r="I11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Leedrew.lee970@example.comPanel: Women in Tech0.687520D Attendee</v>
      </c>
      <c r="J112" t="str">
        <f>IF(COUNTIF(EDA_Table[Temp ID],EDA_Table[[#This Row],[Temp ID]])&gt;1,"Duplicate","Unique")</f>
        <v>Unique</v>
      </c>
    </row>
    <row r="113" spans="1:10">
      <c r="A113" t="s">
        <v>61</v>
      </c>
      <c r="B113" t="s">
        <v>225</v>
      </c>
      <c r="C113" t="s">
        <v>78</v>
      </c>
      <c r="D113" t="s">
        <v>19</v>
      </c>
      <c r="E113" s="1">
        <v>0.83333333333333337</v>
      </c>
      <c r="F113" t="s">
        <v>226</v>
      </c>
      <c r="G113" t="s">
        <v>19</v>
      </c>
      <c r="H113" t="s">
        <v>39</v>
      </c>
      <c r="I11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Johnsonriley.johnson679@example.comAustralia 0.83333333333333321A Attendee</v>
      </c>
      <c r="J113" t="str">
        <f>IF(COUNTIF(EDA_Table[Temp ID],EDA_Table[[#This Row],[Temp ID]])&gt;1,"Duplicate","Unique")</f>
        <v>Duplicate</v>
      </c>
    </row>
    <row r="114" spans="1:10">
      <c r="A114" t="s">
        <v>61</v>
      </c>
      <c r="B114" t="s">
        <v>225</v>
      </c>
      <c r="C114" t="s">
        <v>78</v>
      </c>
      <c r="D114" t="s">
        <v>19</v>
      </c>
      <c r="E114" s="1">
        <v>0.83333333333333337</v>
      </c>
      <c r="F114" t="s">
        <v>226</v>
      </c>
      <c r="G114" t="s">
        <v>19</v>
      </c>
      <c r="H114" t="s">
        <v>39</v>
      </c>
      <c r="I11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Johnsonriley.johnson679@example.comAustralia 0.83333333333333321A Attendee</v>
      </c>
      <c r="J114" t="str">
        <f>IF(COUNTIF(EDA_Table[Temp ID],EDA_Table[[#This Row],[Temp ID]])&gt;1,"Duplicate","Unique")</f>
        <v>Duplicate</v>
      </c>
    </row>
    <row r="115" spans="1:10">
      <c r="A115" t="s">
        <v>92</v>
      </c>
      <c r="B115" t="s">
        <v>227</v>
      </c>
      <c r="C115" t="s">
        <v>34</v>
      </c>
      <c r="E115" s="2">
        <v>0</v>
      </c>
      <c r="F115" t="s">
        <v>226</v>
      </c>
      <c r="G115" t="s">
        <v>91</v>
      </c>
      <c r="H115" t="s">
        <v>39</v>
      </c>
      <c r="I11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Brownjordan.brown455@example.comGermany021AHalalAttendee</v>
      </c>
      <c r="J115" t="str">
        <f>IF(COUNTIF(EDA_Table[Temp ID],EDA_Table[[#This Row],[Temp ID]])&gt;1,"Duplicate","Unique")</f>
        <v>Unique</v>
      </c>
    </row>
    <row r="116" spans="1:10">
      <c r="A116" t="s">
        <v>22</v>
      </c>
      <c r="B116" t="s">
        <v>228</v>
      </c>
      <c r="C116" t="s">
        <v>78</v>
      </c>
      <c r="D116" t="s">
        <v>45</v>
      </c>
      <c r="E116" s="2">
        <v>0.39583333333333331</v>
      </c>
      <c r="F116" t="s">
        <v>226</v>
      </c>
      <c r="G116" t="s">
        <v>31</v>
      </c>
      <c r="H116" t="s">
        <v>39</v>
      </c>
      <c r="I11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Hallmorgan.hall48@example.comAustraliaKeynote: Future of Data0.39583333333333321ANoneAttendee</v>
      </c>
      <c r="J116" t="str">
        <f>IF(COUNTIF(EDA_Table[Temp ID],EDA_Table[[#This Row],[Temp ID]])&gt;1,"Duplicate","Unique")</f>
        <v>Unique</v>
      </c>
    </row>
    <row r="117" spans="1:10">
      <c r="A117" t="s">
        <v>229</v>
      </c>
      <c r="B117" t="s">
        <v>230</v>
      </c>
      <c r="D117" t="s">
        <v>71</v>
      </c>
      <c r="E117" s="1">
        <v>0.375</v>
      </c>
      <c r="F117" t="s">
        <v>231</v>
      </c>
      <c r="G117" t="s">
        <v>28</v>
      </c>
      <c r="H117" t="s">
        <v>39</v>
      </c>
      <c r="I11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Wilsonjordan.wilson512@example.comWebinar: AI Ethics0.37521BKosherAttendee</v>
      </c>
      <c r="J117" t="str">
        <f>IF(COUNTIF(EDA_Table[Temp ID],EDA_Table[[#This Row],[Temp ID]])&gt;1,"Duplicate","Unique")</f>
        <v>Unique</v>
      </c>
    </row>
    <row r="118" spans="1:10">
      <c r="A118" t="s">
        <v>127</v>
      </c>
      <c r="B118" t="s">
        <v>232</v>
      </c>
      <c r="C118" t="s">
        <v>37</v>
      </c>
      <c r="D118" t="s">
        <v>13</v>
      </c>
      <c r="E118" s="2">
        <v>8.3333333333333329E-2</v>
      </c>
      <c r="F118" t="s">
        <v>231</v>
      </c>
      <c r="G118" t="s">
        <v>52</v>
      </c>
      <c r="H118" t="s">
        <v>39</v>
      </c>
      <c r="I11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Lewiscasey.lewis703@example.comCanadaTraining: Dashboard Design0.083333333333333321BVeganAttendee</v>
      </c>
      <c r="J118" t="str">
        <f>IF(COUNTIF(EDA_Table[Temp ID],EDA_Table[[#This Row],[Temp ID]])&gt;1,"Duplicate","Unique")</f>
        <v>Unique</v>
      </c>
    </row>
    <row r="119" spans="1:10">
      <c r="A119" t="s">
        <v>76</v>
      </c>
      <c r="B119" t="s">
        <v>233</v>
      </c>
      <c r="C119" t="s">
        <v>112</v>
      </c>
      <c r="D119" t="s">
        <v>13</v>
      </c>
      <c r="E119" s="1">
        <v>2.0833333333333332E-2</v>
      </c>
      <c r="F119" t="s">
        <v>231</v>
      </c>
      <c r="G119" t="s">
        <v>91</v>
      </c>
      <c r="H119" t="s">
        <v>39</v>
      </c>
      <c r="I11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Clarkchris.clark526@example.comNigeriaTraining: Dashboard Design0.020833333333333321BHalalAttendee</v>
      </c>
      <c r="J119" t="str">
        <f>IF(COUNTIF(EDA_Table[Temp ID],EDA_Table[[#This Row],[Temp ID]])&gt;1,"Duplicate","Unique")</f>
        <v>Unique</v>
      </c>
    </row>
    <row r="120" spans="1:10">
      <c r="A120" t="s">
        <v>234</v>
      </c>
      <c r="B120" t="s">
        <v>235</v>
      </c>
      <c r="C120" t="s">
        <v>96</v>
      </c>
      <c r="D120" t="s">
        <v>71</v>
      </c>
      <c r="E120" s="2">
        <v>0.89583333333333337</v>
      </c>
      <c r="F120" t="s">
        <v>236</v>
      </c>
      <c r="H120" t="s">
        <v>39</v>
      </c>
      <c r="I12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Brownjamie.brown738@example.comUnited KingdomWebinar: AI Ethics0.89583333333333321DAttendee</v>
      </c>
      <c r="J120" t="str">
        <f>IF(COUNTIF(EDA_Table[Temp ID],EDA_Table[[#This Row],[Temp ID]])&gt;1,"Duplicate","Unique")</f>
        <v>Duplicate</v>
      </c>
    </row>
    <row r="121" spans="1:10">
      <c r="A121" t="s">
        <v>237</v>
      </c>
      <c r="B121" t="s">
        <v>238</v>
      </c>
      <c r="C121" t="s">
        <v>19</v>
      </c>
      <c r="D121" t="s">
        <v>45</v>
      </c>
      <c r="E121" s="2">
        <v>0.75</v>
      </c>
      <c r="F121" t="s">
        <v>236</v>
      </c>
      <c r="G121" t="s">
        <v>31</v>
      </c>
      <c r="H121" t="s">
        <v>39</v>
      </c>
      <c r="I12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Jesse Halljesse.hall978@example.com Keynote: Future of Data0.7521DNoneAttendee</v>
      </c>
      <c r="J121" t="str">
        <f>IF(COUNTIF(EDA_Table[Temp ID],EDA_Table[[#This Row],[Temp ID]])&gt;1,"Duplicate","Unique")</f>
        <v>Unique</v>
      </c>
    </row>
    <row r="122" spans="1:10">
      <c r="A122" t="s">
        <v>234</v>
      </c>
      <c r="B122" t="s">
        <v>235</v>
      </c>
      <c r="C122" t="s">
        <v>96</v>
      </c>
      <c r="D122" t="s">
        <v>71</v>
      </c>
      <c r="E122" s="2">
        <v>0.89583333333333337</v>
      </c>
      <c r="F122" t="s">
        <v>236</v>
      </c>
      <c r="H122" t="s">
        <v>39</v>
      </c>
      <c r="I12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Brownjamie.brown738@example.comUnited KingdomWebinar: AI Ethics0.89583333333333321DAttendee</v>
      </c>
      <c r="J122" t="str">
        <f>IF(COUNTIF(EDA_Table[Temp ID],EDA_Table[[#This Row],[Temp ID]])&gt;1,"Duplicate","Unique")</f>
        <v>Duplicate</v>
      </c>
    </row>
    <row r="123" spans="1:10">
      <c r="A123" t="s">
        <v>239</v>
      </c>
      <c r="B123" t="s">
        <v>240</v>
      </c>
      <c r="C123" t="s">
        <v>27</v>
      </c>
      <c r="E123" s="1">
        <v>0.95833333333333337</v>
      </c>
      <c r="F123" t="s">
        <v>241</v>
      </c>
      <c r="G123" t="s">
        <v>28</v>
      </c>
      <c r="H123" t="s">
        <v>39</v>
      </c>
      <c r="I12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Leetaylor.lee371@example.comFrance0.95833333333333322AKosherAttendee</v>
      </c>
      <c r="J123" t="str">
        <f>IF(COUNTIF(EDA_Table[Temp ID],EDA_Table[[#This Row],[Temp ID]])&gt;1,"Duplicate","Unique")</f>
        <v>Duplicate</v>
      </c>
    </row>
    <row r="124" spans="1:10">
      <c r="A124" t="s">
        <v>239</v>
      </c>
      <c r="B124" t="s">
        <v>240</v>
      </c>
      <c r="C124" t="s">
        <v>27</v>
      </c>
      <c r="E124" s="1">
        <v>0.95833333333333337</v>
      </c>
      <c r="F124" t="s">
        <v>241</v>
      </c>
      <c r="G124" t="s">
        <v>28</v>
      </c>
      <c r="H124" t="s">
        <v>39</v>
      </c>
      <c r="I12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Leetaylor.lee371@example.comFrance0.95833333333333322AKosherAttendee</v>
      </c>
      <c r="J124" t="str">
        <f>IF(COUNTIF(EDA_Table[Temp ID],EDA_Table[[#This Row],[Temp ID]])&gt;1,"Duplicate","Unique")</f>
        <v>Duplicate</v>
      </c>
    </row>
    <row r="125" spans="1:10">
      <c r="A125" t="s">
        <v>242</v>
      </c>
      <c r="B125" t="s">
        <v>243</v>
      </c>
      <c r="C125" t="s">
        <v>19</v>
      </c>
      <c r="E125" s="1">
        <v>0.16666666666666666</v>
      </c>
      <c r="F125" t="s">
        <v>241</v>
      </c>
      <c r="G125" t="s">
        <v>31</v>
      </c>
      <c r="H125" t="s">
        <v>39</v>
      </c>
      <c r="I12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Smithmorgan.smith73@example.com 0.16666666666666722ANoneAttendee</v>
      </c>
      <c r="J125" t="str">
        <f>IF(COUNTIF(EDA_Table[Temp ID],EDA_Table[[#This Row],[Temp ID]])&gt;1,"Duplicate","Unique")</f>
        <v>Unique</v>
      </c>
    </row>
    <row r="126" spans="1:10">
      <c r="A126" t="s">
        <v>133</v>
      </c>
      <c r="B126" t="s">
        <v>244</v>
      </c>
      <c r="C126" t="s">
        <v>37</v>
      </c>
      <c r="D126" t="s">
        <v>79</v>
      </c>
      <c r="E126" s="1">
        <v>0.5</v>
      </c>
      <c r="F126" t="s">
        <v>241</v>
      </c>
      <c r="H126" t="s">
        <v>39</v>
      </c>
      <c r="I12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Walkerriley.walker327@example.comCanadaPanel: Women in Tech0.522AAttendee</v>
      </c>
      <c r="J126" t="str">
        <f>IF(COUNTIF(EDA_Table[Temp ID],EDA_Table[[#This Row],[Temp ID]])&gt;1,"Duplicate","Unique")</f>
        <v>Duplicate</v>
      </c>
    </row>
    <row r="127" spans="1:10">
      <c r="A127" t="s">
        <v>177</v>
      </c>
      <c r="B127" t="s">
        <v>245</v>
      </c>
      <c r="C127" t="s">
        <v>112</v>
      </c>
      <c r="D127" t="s">
        <v>50</v>
      </c>
      <c r="E127" s="2">
        <v>0.77083333333333337</v>
      </c>
      <c r="F127" t="s">
        <v>241</v>
      </c>
      <c r="G127" t="s">
        <v>28</v>
      </c>
      <c r="H127" t="s">
        <v>39</v>
      </c>
      <c r="I12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Brownmorgan.brown286@example.comNigeriaWorkshop: Excel Mastery0.77083333333333322AKosherAttendee</v>
      </c>
      <c r="J127" t="str">
        <f>IF(COUNTIF(EDA_Table[Temp ID],EDA_Table[[#This Row],[Temp ID]])&gt;1,"Duplicate","Unique")</f>
        <v>Unique</v>
      </c>
    </row>
    <row r="128" spans="1:10">
      <c r="A128" t="s">
        <v>133</v>
      </c>
      <c r="B128" t="s">
        <v>244</v>
      </c>
      <c r="C128" t="s">
        <v>37</v>
      </c>
      <c r="D128" t="s">
        <v>79</v>
      </c>
      <c r="E128" s="1">
        <v>0.5</v>
      </c>
      <c r="F128" t="s">
        <v>241</v>
      </c>
      <c r="H128" t="s">
        <v>39</v>
      </c>
      <c r="I12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Walkerriley.walker327@example.comCanadaPanel: Women in Tech0.522AAttendee</v>
      </c>
      <c r="J128" t="str">
        <f>IF(COUNTIF(EDA_Table[Temp ID],EDA_Table[[#This Row],[Temp ID]])&gt;1,"Duplicate","Unique")</f>
        <v>Duplicate</v>
      </c>
    </row>
    <row r="129" spans="1:10">
      <c r="A129" t="s">
        <v>10</v>
      </c>
      <c r="B129" t="s">
        <v>246</v>
      </c>
      <c r="C129" t="s">
        <v>96</v>
      </c>
      <c r="D129" t="s">
        <v>13</v>
      </c>
      <c r="E129" s="2">
        <v>0.54166666666666663</v>
      </c>
      <c r="F129" t="s">
        <v>247</v>
      </c>
      <c r="G129" t="s">
        <v>91</v>
      </c>
      <c r="H129" t="s">
        <v>39</v>
      </c>
      <c r="I12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Smithjordan.smith306@example.comUnited KingdomTraining: Dashboard Design0.54166666666666722DHalalAttendee</v>
      </c>
      <c r="J129" t="str">
        <f>IF(COUNTIF(EDA_Table[Temp ID],EDA_Table[[#This Row],[Temp ID]])&gt;1,"Duplicate","Unique")</f>
        <v>Unique</v>
      </c>
    </row>
    <row r="130" spans="1:10">
      <c r="A130" t="s">
        <v>170</v>
      </c>
      <c r="B130" t="s">
        <v>248</v>
      </c>
      <c r="C130" t="s">
        <v>68</v>
      </c>
      <c r="D130" t="s">
        <v>13</v>
      </c>
      <c r="E130" s="2">
        <v>0.3125</v>
      </c>
      <c r="F130" t="s">
        <v>247</v>
      </c>
      <c r="G130" t="s">
        <v>28</v>
      </c>
      <c r="H130" t="s">
        <v>39</v>
      </c>
      <c r="I13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Halljordan.hall739@example.comIndiaTraining: Dashboard Design0.312522DKosherAttendee</v>
      </c>
      <c r="J130" t="str">
        <f>IF(COUNTIF(EDA_Table[Temp ID],EDA_Table[[#This Row],[Temp ID]])&gt;1,"Duplicate","Unique")</f>
        <v>Unique</v>
      </c>
    </row>
    <row r="131" spans="1:10">
      <c r="A131" t="s">
        <v>61</v>
      </c>
      <c r="B131" t="s">
        <v>249</v>
      </c>
      <c r="C131" t="s">
        <v>27</v>
      </c>
      <c r="E131" s="2">
        <v>0.83333333333333337</v>
      </c>
      <c r="F131" t="s">
        <v>247</v>
      </c>
      <c r="G131" t="s">
        <v>91</v>
      </c>
      <c r="H131" t="s">
        <v>39</v>
      </c>
      <c r="I13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Johnsonriley.johnson347@example.comFrance0.83333333333333322DHalalAttendee</v>
      </c>
      <c r="J131" t="str">
        <f>IF(COUNTIF(EDA_Table[Temp ID],EDA_Table[[#This Row],[Temp ID]])&gt;1,"Duplicate","Unique")</f>
        <v>Unique</v>
      </c>
    </row>
    <row r="132" spans="1:10">
      <c r="A132" t="s">
        <v>250</v>
      </c>
      <c r="B132" t="s">
        <v>251</v>
      </c>
      <c r="C132" t="s">
        <v>78</v>
      </c>
      <c r="D132" t="s">
        <v>79</v>
      </c>
      <c r="E132" s="2">
        <v>0.95833333333333337</v>
      </c>
      <c r="F132" t="s">
        <v>252</v>
      </c>
      <c r="G132" t="s">
        <v>91</v>
      </c>
      <c r="H132" t="s">
        <v>39</v>
      </c>
      <c r="I13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Smithriley.smith651@example.comAustraliaPanel: Women in Tech0.95833333333333323AHalalAttendee</v>
      </c>
      <c r="J132" t="str">
        <f>IF(COUNTIF(EDA_Table[Temp ID],EDA_Table[[#This Row],[Temp ID]])&gt;1,"Duplicate","Unique")</f>
        <v>Unique</v>
      </c>
    </row>
    <row r="133" spans="1:10">
      <c r="A133" t="s">
        <v>17</v>
      </c>
      <c r="B133" t="s">
        <v>253</v>
      </c>
      <c r="C133" t="s">
        <v>37</v>
      </c>
      <c r="D133" t="s">
        <v>45</v>
      </c>
      <c r="E133" s="1">
        <v>0.89583333333333337</v>
      </c>
      <c r="F133" t="s">
        <v>252</v>
      </c>
      <c r="G133" t="s">
        <v>15</v>
      </c>
      <c r="H133" t="s">
        <v>39</v>
      </c>
      <c r="I13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Allenriley.allen577@example.comCanadaKeynote: Future of Data0.89583333333333323AVegetarianAttendee</v>
      </c>
      <c r="J133" t="str">
        <f>IF(COUNTIF(EDA_Table[Temp ID],EDA_Table[[#This Row],[Temp ID]])&gt;1,"Duplicate","Unique")</f>
        <v>Unique</v>
      </c>
    </row>
    <row r="134" spans="1:10">
      <c r="A134" t="s">
        <v>53</v>
      </c>
      <c r="B134" t="s">
        <v>254</v>
      </c>
      <c r="C134" t="s">
        <v>112</v>
      </c>
      <c r="E134" s="2">
        <v>0.33333333333333331</v>
      </c>
      <c r="F134" t="s">
        <v>252</v>
      </c>
      <c r="G134" t="s">
        <v>91</v>
      </c>
      <c r="H134" t="s">
        <v>39</v>
      </c>
      <c r="I13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Brownriley.brown481@example.comNigeria0.33333333333333323AHalalAttendee</v>
      </c>
      <c r="J134" t="str">
        <f>IF(COUNTIF(EDA_Table[Temp ID],EDA_Table[[#This Row],[Temp ID]])&gt;1,"Duplicate","Unique")</f>
        <v>Unique</v>
      </c>
    </row>
    <row r="135" spans="1:10">
      <c r="A135" t="s">
        <v>255</v>
      </c>
      <c r="B135" t="s">
        <v>256</v>
      </c>
      <c r="C135" t="s">
        <v>34</v>
      </c>
      <c r="D135" t="s">
        <v>50</v>
      </c>
      <c r="E135" s="2">
        <v>0.58333333333333337</v>
      </c>
      <c r="F135" t="s">
        <v>252</v>
      </c>
      <c r="G135" t="s">
        <v>28</v>
      </c>
      <c r="H135" t="s">
        <v>39</v>
      </c>
      <c r="I13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Walkertaylor.walker296@example.comGermanyWorkshop: Excel Mastery0.58333333333333323AKosherAttendee</v>
      </c>
      <c r="J135" t="str">
        <f>IF(COUNTIF(EDA_Table[Temp ID],EDA_Table[[#This Row],[Temp ID]])&gt;1,"Duplicate","Unique")</f>
        <v>Unique</v>
      </c>
    </row>
    <row r="136" spans="1:10">
      <c r="A136" t="s">
        <v>257</v>
      </c>
      <c r="B136" t="s">
        <v>258</v>
      </c>
      <c r="C136" t="s">
        <v>112</v>
      </c>
      <c r="D136" t="s">
        <v>50</v>
      </c>
      <c r="E136" s="2">
        <v>0.77083333333333337</v>
      </c>
      <c r="F136" t="s">
        <v>259</v>
      </c>
      <c r="G136" t="s">
        <v>19</v>
      </c>
      <c r="H136" t="s">
        <v>39</v>
      </c>
      <c r="I13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Walkerjamie.walker609@example.comNigeriaWorkshop: Excel Mastery0.77083333333333323B Attendee</v>
      </c>
      <c r="J136" t="str">
        <f>IF(COUNTIF(EDA_Table[Temp ID],EDA_Table[[#This Row],[Temp ID]])&gt;1,"Duplicate","Unique")</f>
        <v>Duplicate</v>
      </c>
    </row>
    <row r="137" spans="1:10">
      <c r="A137" t="s">
        <v>257</v>
      </c>
      <c r="B137" t="s">
        <v>258</v>
      </c>
      <c r="C137" t="s">
        <v>112</v>
      </c>
      <c r="D137" t="s">
        <v>50</v>
      </c>
      <c r="E137" s="2">
        <v>0.77083333333333337</v>
      </c>
      <c r="F137" t="s">
        <v>259</v>
      </c>
      <c r="G137" t="s">
        <v>19</v>
      </c>
      <c r="H137" t="s">
        <v>39</v>
      </c>
      <c r="I13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Walkerjamie.walker609@example.comNigeriaWorkshop: Excel Mastery0.77083333333333323B Attendee</v>
      </c>
      <c r="J137" t="str">
        <f>IF(COUNTIF(EDA_Table[Temp ID],EDA_Table[[#This Row],[Temp ID]])&gt;1,"Duplicate","Unique")</f>
        <v>Duplicate</v>
      </c>
    </row>
    <row r="138" spans="1:10">
      <c r="A138" t="s">
        <v>66</v>
      </c>
      <c r="B138" t="s">
        <v>260</v>
      </c>
      <c r="C138" t="s">
        <v>34</v>
      </c>
      <c r="D138" t="s">
        <v>79</v>
      </c>
      <c r="E138" s="1">
        <v>0.35416666666666669</v>
      </c>
      <c r="F138" t="s">
        <v>259</v>
      </c>
      <c r="G138" t="s">
        <v>19</v>
      </c>
      <c r="H138" t="s">
        <v>39</v>
      </c>
      <c r="I13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Allencasey.allen76@example.comGermanyPanel: Women in Tech0.35416666666666723B Attendee</v>
      </c>
      <c r="J138" t="str">
        <f>IF(COUNTIF(EDA_Table[Temp ID],EDA_Table[[#This Row],[Temp ID]])&gt;1,"Duplicate","Unique")</f>
        <v>Duplicate</v>
      </c>
    </row>
    <row r="139" spans="1:10">
      <c r="A139" t="s">
        <v>66</v>
      </c>
      <c r="B139" t="s">
        <v>260</v>
      </c>
      <c r="C139" t="s">
        <v>34</v>
      </c>
      <c r="D139" t="s">
        <v>79</v>
      </c>
      <c r="E139" s="1">
        <v>0.35416666666666669</v>
      </c>
      <c r="F139" t="s">
        <v>259</v>
      </c>
      <c r="G139" t="s">
        <v>19</v>
      </c>
      <c r="H139" t="s">
        <v>39</v>
      </c>
      <c r="I13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Allencasey.allen76@example.comGermanyPanel: Women in Tech0.35416666666666723B Attendee</v>
      </c>
      <c r="J139" t="str">
        <f>IF(COUNTIF(EDA_Table[Temp ID],EDA_Table[[#This Row],[Temp ID]])&gt;1,"Duplicate","Unique")</f>
        <v>Duplicate</v>
      </c>
    </row>
    <row r="140" spans="1:10">
      <c r="A140" t="s">
        <v>140</v>
      </c>
      <c r="B140" t="s">
        <v>261</v>
      </c>
      <c r="C140" t="s">
        <v>68</v>
      </c>
      <c r="D140" t="s">
        <v>50</v>
      </c>
      <c r="E140" s="2">
        <v>0.29166666666666669</v>
      </c>
      <c r="F140" t="s">
        <v>262</v>
      </c>
      <c r="G140" t="s">
        <v>52</v>
      </c>
      <c r="H140" t="s">
        <v>39</v>
      </c>
      <c r="I14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Allenjordan.allen520@example.comIndiaWorkshop: Excel Mastery0.29166666666666723CVeganAttendee</v>
      </c>
      <c r="J140" t="str">
        <f>IF(COUNTIF(EDA_Table[Temp ID],EDA_Table[[#This Row],[Temp ID]])&gt;1,"Duplicate","Unique")</f>
        <v>Unique</v>
      </c>
    </row>
    <row r="141" spans="1:10">
      <c r="A141" t="s">
        <v>177</v>
      </c>
      <c r="B141" t="s">
        <v>263</v>
      </c>
      <c r="C141" t="s">
        <v>27</v>
      </c>
      <c r="E141" s="2">
        <v>0.16666666666666666</v>
      </c>
      <c r="F141" t="s">
        <v>262</v>
      </c>
      <c r="G141" t="s">
        <v>19</v>
      </c>
      <c r="H141" t="s">
        <v>39</v>
      </c>
      <c r="I14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Brownmorgan.brown791@example.comFrance0.16666666666666723C Attendee</v>
      </c>
      <c r="J141" t="str">
        <f>IF(COUNTIF(EDA_Table[Temp ID],EDA_Table[[#This Row],[Temp ID]])&gt;1,"Duplicate","Unique")</f>
        <v>Unique</v>
      </c>
    </row>
    <row r="142" spans="1:10">
      <c r="A142" t="s">
        <v>108</v>
      </c>
      <c r="B142" t="s">
        <v>264</v>
      </c>
      <c r="C142" t="s">
        <v>34</v>
      </c>
      <c r="D142" t="s">
        <v>45</v>
      </c>
      <c r="E142" s="1">
        <v>0.375</v>
      </c>
      <c r="F142" t="s">
        <v>262</v>
      </c>
      <c r="H142" t="s">
        <v>39</v>
      </c>
      <c r="I14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Wilsonjamie.wilson342@example.comGermanyKeynote: Future of Data0.37523CAttendee</v>
      </c>
      <c r="J142" t="str">
        <f>IF(COUNTIF(EDA_Table[Temp ID],EDA_Table[[#This Row],[Temp ID]])&gt;1,"Duplicate","Unique")</f>
        <v>Unique</v>
      </c>
    </row>
    <row r="143" spans="1:10">
      <c r="A143" t="s">
        <v>265</v>
      </c>
      <c r="B143" t="s">
        <v>266</v>
      </c>
      <c r="C143" t="s">
        <v>78</v>
      </c>
      <c r="D143" t="s">
        <v>13</v>
      </c>
      <c r="E143" s="1">
        <v>0.9375</v>
      </c>
      <c r="F143" t="s">
        <v>262</v>
      </c>
      <c r="G143" t="s">
        <v>19</v>
      </c>
      <c r="H143" t="s">
        <v>39</v>
      </c>
      <c r="I14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Wilsonalex.wilson853@example.comAustraliaTraining: Dashboard Design0.937523C Attendee</v>
      </c>
      <c r="J143" t="str">
        <f>IF(COUNTIF(EDA_Table[Temp ID],EDA_Table[[#This Row],[Temp ID]])&gt;1,"Duplicate","Unique")</f>
        <v>Unique</v>
      </c>
    </row>
    <row r="144" spans="1:10">
      <c r="A144" t="s">
        <v>25</v>
      </c>
      <c r="B144" t="s">
        <v>267</v>
      </c>
      <c r="C144" t="s">
        <v>101</v>
      </c>
      <c r="D144" t="s">
        <v>71</v>
      </c>
      <c r="E144" s="2">
        <v>0.5625</v>
      </c>
      <c r="F144" t="s">
        <v>268</v>
      </c>
      <c r="G144" t="s">
        <v>91</v>
      </c>
      <c r="H144" t="s">
        <v>39</v>
      </c>
      <c r="I14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Jesse Clarkjesse.clark485@example.comJapanWebinar: AI Ethics0.562523DHalalAttendee</v>
      </c>
      <c r="J144" t="str">
        <f>IF(COUNTIF(EDA_Table[Temp ID],EDA_Table[[#This Row],[Temp ID]])&gt;1,"Duplicate","Unique")</f>
        <v>Unique</v>
      </c>
    </row>
    <row r="145" spans="1:10">
      <c r="A145" t="s">
        <v>269</v>
      </c>
      <c r="B145" t="s">
        <v>270</v>
      </c>
      <c r="C145" t="s">
        <v>112</v>
      </c>
      <c r="D145" t="s">
        <v>13</v>
      </c>
      <c r="E145" s="2">
        <v>0.25</v>
      </c>
      <c r="F145" t="s">
        <v>268</v>
      </c>
      <c r="G145" t="s">
        <v>52</v>
      </c>
      <c r="H145" t="s">
        <v>39</v>
      </c>
      <c r="I14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Walkercasey.walker622@example.comNigeriaTraining: Dashboard Design0.2523DVeganAttendee</v>
      </c>
      <c r="J145" t="str">
        <f>IF(COUNTIF(EDA_Table[Temp ID],EDA_Table[[#This Row],[Temp ID]])&gt;1,"Duplicate","Unique")</f>
        <v>Duplicate</v>
      </c>
    </row>
    <row r="146" spans="1:10">
      <c r="A146" t="s">
        <v>269</v>
      </c>
      <c r="B146" t="s">
        <v>270</v>
      </c>
      <c r="C146" t="s">
        <v>112</v>
      </c>
      <c r="D146" t="s">
        <v>13</v>
      </c>
      <c r="E146" s="2">
        <v>0.25</v>
      </c>
      <c r="F146" t="s">
        <v>268</v>
      </c>
      <c r="G146" t="s">
        <v>52</v>
      </c>
      <c r="H146" t="s">
        <v>39</v>
      </c>
      <c r="I14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Walkercasey.walker622@example.comNigeriaTraining: Dashboard Design0.2523DVeganAttendee</v>
      </c>
      <c r="J146" t="str">
        <f>IF(COUNTIF(EDA_Table[Temp ID],EDA_Table[[#This Row],[Temp ID]])&gt;1,"Duplicate","Unique")</f>
        <v>Duplicate</v>
      </c>
    </row>
    <row r="147" spans="1:10">
      <c r="A147" t="s">
        <v>61</v>
      </c>
      <c r="B147" t="s">
        <v>271</v>
      </c>
      <c r="C147" t="s">
        <v>96</v>
      </c>
      <c r="D147" t="s">
        <v>71</v>
      </c>
      <c r="E147" s="1">
        <v>0.625</v>
      </c>
      <c r="F147" t="s">
        <v>268</v>
      </c>
      <c r="G147" t="s">
        <v>19</v>
      </c>
      <c r="H147" t="s">
        <v>39</v>
      </c>
      <c r="I14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Johnsonriley.johnson232@example.comUnited KingdomWebinar: AI Ethics0.62523D Attendee</v>
      </c>
      <c r="J147" t="str">
        <f>IF(COUNTIF(EDA_Table[Temp ID],EDA_Table[[#This Row],[Temp ID]])&gt;1,"Duplicate","Unique")</f>
        <v>Unique</v>
      </c>
    </row>
    <row r="148" spans="1:10">
      <c r="A148" t="s">
        <v>168</v>
      </c>
      <c r="B148" t="s">
        <v>272</v>
      </c>
      <c r="C148" t="s">
        <v>27</v>
      </c>
      <c r="E148" s="2">
        <v>0.22916666666666666</v>
      </c>
      <c r="F148" t="s">
        <v>268</v>
      </c>
      <c r="G148" t="s">
        <v>52</v>
      </c>
      <c r="H148" t="s">
        <v>39</v>
      </c>
      <c r="I14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Johnsonchris.johnson457@example.comFrance0.22916666666666723DVeganAttendee</v>
      </c>
      <c r="J148" t="str">
        <f>IF(COUNTIF(EDA_Table[Temp ID],EDA_Table[[#This Row],[Temp ID]])&gt;1,"Duplicate","Unique")</f>
        <v>Unique</v>
      </c>
    </row>
    <row r="149" spans="1:10">
      <c r="A149" t="s">
        <v>110</v>
      </c>
      <c r="B149" t="s">
        <v>273</v>
      </c>
      <c r="C149" t="s">
        <v>96</v>
      </c>
      <c r="D149" t="s">
        <v>79</v>
      </c>
      <c r="E149" s="2">
        <v>0.27083333333333331</v>
      </c>
      <c r="F149" t="s">
        <v>268</v>
      </c>
      <c r="G149" t="s">
        <v>52</v>
      </c>
      <c r="H149" t="s">
        <v>39</v>
      </c>
      <c r="I14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Leejordan.lee357@example.comUnited KingdomPanel: Women in Tech0.27083333333333323DVeganAttendee</v>
      </c>
      <c r="J149" t="str">
        <f>IF(COUNTIF(EDA_Table[Temp ID],EDA_Table[[#This Row],[Temp ID]])&gt;1,"Duplicate","Unique")</f>
        <v>Unique</v>
      </c>
    </row>
    <row r="150" spans="1:10">
      <c r="A150" t="s">
        <v>274</v>
      </c>
      <c r="B150" t="s">
        <v>275</v>
      </c>
      <c r="C150" t="s">
        <v>12</v>
      </c>
      <c r="E150" s="2">
        <v>0.25</v>
      </c>
      <c r="F150" t="s">
        <v>268</v>
      </c>
      <c r="G150" t="s">
        <v>52</v>
      </c>
      <c r="H150" t="s">
        <v>39</v>
      </c>
      <c r="I15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Leechris.lee860@example.comUnited States0.2523DVeganAttendee</v>
      </c>
      <c r="J150" t="str">
        <f>IF(COUNTIF(EDA_Table[Temp ID],EDA_Table[[#This Row],[Temp ID]])&gt;1,"Duplicate","Unique")</f>
        <v>Unique</v>
      </c>
    </row>
    <row r="151" spans="1:10">
      <c r="A151" t="s">
        <v>188</v>
      </c>
      <c r="B151" t="s">
        <v>276</v>
      </c>
      <c r="C151" t="s">
        <v>101</v>
      </c>
      <c r="D151" t="s">
        <v>19</v>
      </c>
      <c r="E151" s="2">
        <v>0.16666666666666666</v>
      </c>
      <c r="F151" t="s">
        <v>277</v>
      </c>
      <c r="G151" t="s">
        <v>28</v>
      </c>
      <c r="H151" t="s">
        <v>39</v>
      </c>
      <c r="I15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Lewisalex.lewis586@example.comJapan 0.16666666666666724AKosherAttendee</v>
      </c>
      <c r="J151" t="str">
        <f>IF(COUNTIF(EDA_Table[Temp ID],EDA_Table[[#This Row],[Temp ID]])&gt;1,"Duplicate","Unique")</f>
        <v>Unique</v>
      </c>
    </row>
    <row r="152" spans="1:10">
      <c r="A152" t="s">
        <v>35</v>
      </c>
      <c r="B152" t="s">
        <v>278</v>
      </c>
      <c r="C152" t="s">
        <v>55</v>
      </c>
      <c r="D152" t="s">
        <v>71</v>
      </c>
      <c r="E152" s="1">
        <v>0.79166666666666663</v>
      </c>
      <c r="F152" t="s">
        <v>277</v>
      </c>
      <c r="G152" t="s">
        <v>91</v>
      </c>
      <c r="H152" t="s">
        <v>39</v>
      </c>
      <c r="I15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Halltaylor.hall37@example.comBrazilWebinar: AI Ethics0.79166666666666724AHalalAttendee</v>
      </c>
      <c r="J152" t="str">
        <f>IF(COUNTIF(EDA_Table[Temp ID],EDA_Table[[#This Row],[Temp ID]])&gt;1,"Duplicate","Unique")</f>
        <v>Unique</v>
      </c>
    </row>
    <row r="153" spans="1:10">
      <c r="A153" t="s">
        <v>138</v>
      </c>
      <c r="B153" t="s">
        <v>279</v>
      </c>
      <c r="C153" t="s">
        <v>34</v>
      </c>
      <c r="D153" t="s">
        <v>79</v>
      </c>
      <c r="E153" s="1">
        <v>0.6875</v>
      </c>
      <c r="F153" t="s">
        <v>280</v>
      </c>
      <c r="G153" t="s">
        <v>31</v>
      </c>
      <c r="H153" t="s">
        <v>39</v>
      </c>
      <c r="I15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Jesse Brownjesse.brown689@example.comGermanyPanel: Women in Tech0.687524BNoneAttendee</v>
      </c>
      <c r="J153" t="str">
        <f>IF(COUNTIF(EDA_Table[Temp ID],EDA_Table[[#This Row],[Temp ID]])&gt;1,"Duplicate","Unique")</f>
        <v>Unique</v>
      </c>
    </row>
    <row r="154" spans="1:10">
      <c r="A154" t="s">
        <v>211</v>
      </c>
      <c r="B154" t="s">
        <v>281</v>
      </c>
      <c r="C154" t="s">
        <v>68</v>
      </c>
      <c r="D154" t="s">
        <v>19</v>
      </c>
      <c r="E154" s="1">
        <v>0.8125</v>
      </c>
      <c r="F154" t="s">
        <v>280</v>
      </c>
      <c r="G154" t="s">
        <v>91</v>
      </c>
      <c r="H154" t="s">
        <v>21</v>
      </c>
      <c r="I15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Johnsonmorgan.johnson82@example.comIndia 0.812524BHalalSpeaker</v>
      </c>
      <c r="J154" t="str">
        <f>IF(COUNTIF(EDA_Table[Temp ID],EDA_Table[[#This Row],[Temp ID]])&gt;1,"Duplicate","Unique")</f>
        <v>Unique</v>
      </c>
    </row>
    <row r="155" spans="1:10">
      <c r="A155" t="s">
        <v>59</v>
      </c>
      <c r="B155" t="s">
        <v>282</v>
      </c>
      <c r="C155" t="s">
        <v>34</v>
      </c>
      <c r="D155" t="s">
        <v>19</v>
      </c>
      <c r="E155" s="1">
        <v>0.52083333333333337</v>
      </c>
      <c r="F155" t="s">
        <v>280</v>
      </c>
      <c r="G155" t="s">
        <v>28</v>
      </c>
      <c r="H155" t="s">
        <v>39</v>
      </c>
      <c r="I15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Leecasey.lee167@example.comGermany 0.52083333333333324BKosherAttendee</v>
      </c>
      <c r="J155" t="str">
        <f>IF(COUNTIF(EDA_Table[Temp ID],EDA_Table[[#This Row],[Temp ID]])&gt;1,"Duplicate","Unique")</f>
        <v>Unique</v>
      </c>
    </row>
    <row r="156" spans="1:10">
      <c r="A156" t="s">
        <v>180</v>
      </c>
      <c r="B156" t="s">
        <v>283</v>
      </c>
      <c r="C156" t="s">
        <v>112</v>
      </c>
      <c r="D156" t="s">
        <v>45</v>
      </c>
      <c r="E156" s="1">
        <v>8.3333333333333329E-2</v>
      </c>
      <c r="F156" t="s">
        <v>284</v>
      </c>
      <c r="G156" t="s">
        <v>28</v>
      </c>
      <c r="H156" t="s">
        <v>39</v>
      </c>
      <c r="I15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Allentaylor.allen695@example.comNigeriaKeynote: Future of Data0.083333333333333324CKosherAttendee</v>
      </c>
      <c r="J156" t="str">
        <f>IF(COUNTIF(EDA_Table[Temp ID],EDA_Table[[#This Row],[Temp ID]])&gt;1,"Duplicate","Unique")</f>
        <v>Unique</v>
      </c>
    </row>
    <row r="157" spans="1:10">
      <c r="A157" t="s">
        <v>239</v>
      </c>
      <c r="B157" t="s">
        <v>285</v>
      </c>
      <c r="C157" t="s">
        <v>55</v>
      </c>
      <c r="D157" t="s">
        <v>13</v>
      </c>
      <c r="E157" s="2">
        <v>0.95833333333333337</v>
      </c>
      <c r="F157" t="s">
        <v>284</v>
      </c>
      <c r="G157" t="s">
        <v>15</v>
      </c>
      <c r="H157" t="s">
        <v>39</v>
      </c>
      <c r="I15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Leetaylor.lee337@example.comBrazilTraining: Dashboard Design0.95833333333333324CVegetarianAttendee</v>
      </c>
      <c r="J157" t="str">
        <f>IF(COUNTIF(EDA_Table[Temp ID],EDA_Table[[#This Row],[Temp ID]])&gt;1,"Duplicate","Unique")</f>
        <v>Unique</v>
      </c>
    </row>
    <row r="158" spans="1:10">
      <c r="A158" t="s">
        <v>265</v>
      </c>
      <c r="B158" t="s">
        <v>286</v>
      </c>
      <c r="C158" t="s">
        <v>55</v>
      </c>
      <c r="D158" t="s">
        <v>19</v>
      </c>
      <c r="E158" s="1">
        <v>0.97916666666666663</v>
      </c>
      <c r="F158" t="s">
        <v>287</v>
      </c>
      <c r="G158" t="s">
        <v>28</v>
      </c>
      <c r="H158" t="s">
        <v>39</v>
      </c>
      <c r="I15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Wilsonalex.wilson293@example.comBrazil 0.97916666666666724DKosherAttendee</v>
      </c>
      <c r="J158" t="str">
        <f>IF(COUNTIF(EDA_Table[Temp ID],EDA_Table[[#This Row],[Temp ID]])&gt;1,"Duplicate","Unique")</f>
        <v>Unique</v>
      </c>
    </row>
    <row r="159" spans="1:10">
      <c r="A159" t="s">
        <v>288</v>
      </c>
      <c r="B159" t="s">
        <v>289</v>
      </c>
      <c r="C159" t="s">
        <v>37</v>
      </c>
      <c r="D159" t="s">
        <v>45</v>
      </c>
      <c r="E159" s="1">
        <v>0.875</v>
      </c>
      <c r="F159" t="s">
        <v>287</v>
      </c>
      <c r="G159" t="s">
        <v>31</v>
      </c>
      <c r="H159" t="s">
        <v>39</v>
      </c>
      <c r="I15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Johnsonalex.johnson505@example.comCanadaKeynote: Future of Data0.87524DNoneAttendee</v>
      </c>
      <c r="J159" t="str">
        <f>IF(COUNTIF(EDA_Table[Temp ID],EDA_Table[[#This Row],[Temp ID]])&gt;1,"Duplicate","Unique")</f>
        <v>Unique</v>
      </c>
    </row>
    <row r="160" spans="1:10">
      <c r="A160" t="s">
        <v>127</v>
      </c>
      <c r="B160" t="s">
        <v>290</v>
      </c>
      <c r="C160" t="s">
        <v>37</v>
      </c>
      <c r="E160" s="1">
        <v>0.3125</v>
      </c>
      <c r="F160" t="s">
        <v>287</v>
      </c>
      <c r="G160" t="s">
        <v>28</v>
      </c>
      <c r="H160" t="s">
        <v>39</v>
      </c>
      <c r="I16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Lewiscasey.lewis463@example.comCanada0.312524DKosherAttendee</v>
      </c>
      <c r="J160" t="str">
        <f>IF(COUNTIF(EDA_Table[Temp ID],EDA_Table[[#This Row],[Temp ID]])&gt;1,"Duplicate","Unique")</f>
        <v>Unique</v>
      </c>
    </row>
    <row r="161" spans="1:10">
      <c r="A161" t="s">
        <v>127</v>
      </c>
      <c r="B161" t="s">
        <v>291</v>
      </c>
      <c r="D161" t="s">
        <v>13</v>
      </c>
      <c r="E161" s="2">
        <v>0.41666666666666669</v>
      </c>
      <c r="F161" t="s">
        <v>292</v>
      </c>
      <c r="G161" t="s">
        <v>31</v>
      </c>
      <c r="H161" t="s">
        <v>39</v>
      </c>
      <c r="I16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Lewiscasey.lewis462@example.comTraining: Dashboard Design0.41666666666666725ANoneAttendee</v>
      </c>
      <c r="J161" t="str">
        <f>IF(COUNTIF(EDA_Table[Temp ID],EDA_Table[[#This Row],[Temp ID]])&gt;1,"Duplicate","Unique")</f>
        <v>Unique</v>
      </c>
    </row>
    <row r="162" spans="1:10">
      <c r="A162" t="s">
        <v>81</v>
      </c>
      <c r="B162" t="s">
        <v>293</v>
      </c>
      <c r="C162" t="s">
        <v>19</v>
      </c>
      <c r="D162" t="s">
        <v>13</v>
      </c>
      <c r="E162" s="2">
        <v>0.1875</v>
      </c>
      <c r="F162" t="s">
        <v>294</v>
      </c>
      <c r="G162" t="s">
        <v>19</v>
      </c>
      <c r="H162" t="s">
        <v>39</v>
      </c>
      <c r="I16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Hallcasey.hall327@example.com Training: Dashboard Design0.187525B Attendee</v>
      </c>
      <c r="J162" t="str">
        <f>IF(COUNTIF(EDA_Table[Temp ID],EDA_Table[[#This Row],[Temp ID]])&gt;1,"Duplicate","Unique")</f>
        <v>Unique</v>
      </c>
    </row>
    <row r="163" spans="1:10">
      <c r="A163" t="s">
        <v>121</v>
      </c>
      <c r="B163" t="s">
        <v>295</v>
      </c>
      <c r="C163" t="s">
        <v>19</v>
      </c>
      <c r="D163" t="s">
        <v>19</v>
      </c>
      <c r="E163" s="2">
        <v>0.54166666666666663</v>
      </c>
      <c r="F163" t="s">
        <v>294</v>
      </c>
      <c r="G163" t="s">
        <v>91</v>
      </c>
      <c r="H163" t="s">
        <v>39</v>
      </c>
      <c r="I16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Jesse Lewisjesse.lewis354@example.com  0.54166666666666725BHalalAttendee</v>
      </c>
      <c r="J163" t="str">
        <f>IF(COUNTIF(EDA_Table[Temp ID],EDA_Table[[#This Row],[Temp ID]])&gt;1,"Duplicate","Unique")</f>
        <v>Unique</v>
      </c>
    </row>
    <row r="164" spans="1:10">
      <c r="A164" t="s">
        <v>265</v>
      </c>
      <c r="B164" t="s">
        <v>296</v>
      </c>
      <c r="C164" t="s">
        <v>19</v>
      </c>
      <c r="D164" t="s">
        <v>79</v>
      </c>
      <c r="E164" s="2">
        <v>0.16666666666666666</v>
      </c>
      <c r="F164" t="s">
        <v>297</v>
      </c>
      <c r="G164" t="s">
        <v>15</v>
      </c>
      <c r="H164" t="s">
        <v>39</v>
      </c>
      <c r="I16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Wilsonalex.wilson232@example.com Panel: Women in Tech0.16666666666666725CVegetarianAttendee</v>
      </c>
      <c r="J164" t="str">
        <f>IF(COUNTIF(EDA_Table[Temp ID],EDA_Table[[#This Row],[Temp ID]])&gt;1,"Duplicate","Unique")</f>
        <v>Unique</v>
      </c>
    </row>
    <row r="165" spans="1:10">
      <c r="A165" t="s">
        <v>183</v>
      </c>
      <c r="B165" t="s">
        <v>298</v>
      </c>
      <c r="C165" t="s">
        <v>101</v>
      </c>
      <c r="D165" t="s">
        <v>71</v>
      </c>
      <c r="E165" s="1">
        <v>0.27083333333333331</v>
      </c>
      <c r="F165" t="s">
        <v>299</v>
      </c>
      <c r="G165" t="s">
        <v>19</v>
      </c>
      <c r="H165" t="s">
        <v>39</v>
      </c>
      <c r="I16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Walkermorgan.walker450@example.comJapanWebinar: AI Ethics0.27083333333333325D Attendee</v>
      </c>
      <c r="J165" t="str">
        <f>IF(COUNTIF(EDA_Table[Temp ID],EDA_Table[[#This Row],[Temp ID]])&gt;1,"Duplicate","Unique")</f>
        <v>Unique</v>
      </c>
    </row>
    <row r="166" spans="1:10">
      <c r="A166" t="s">
        <v>250</v>
      </c>
      <c r="B166" t="s">
        <v>300</v>
      </c>
      <c r="C166" t="s">
        <v>78</v>
      </c>
      <c r="D166" t="s">
        <v>50</v>
      </c>
      <c r="E166" s="1">
        <v>0.97916666666666663</v>
      </c>
      <c r="F166" t="s">
        <v>299</v>
      </c>
      <c r="G166" t="s">
        <v>19</v>
      </c>
      <c r="H166" t="s">
        <v>39</v>
      </c>
      <c r="I16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Smithriley.smith294@example.comAustraliaWorkshop: Excel Mastery0.97916666666666725D Attendee</v>
      </c>
      <c r="J166" t="str">
        <f>IF(COUNTIF(EDA_Table[Temp ID],EDA_Table[[#This Row],[Temp ID]])&gt;1,"Duplicate","Unique")</f>
        <v>Duplicate</v>
      </c>
    </row>
    <row r="167" spans="1:10">
      <c r="A167" t="s">
        <v>250</v>
      </c>
      <c r="B167" t="s">
        <v>300</v>
      </c>
      <c r="C167" t="s">
        <v>78</v>
      </c>
      <c r="D167" t="s">
        <v>50</v>
      </c>
      <c r="E167" s="1">
        <v>0.97916666666666663</v>
      </c>
      <c r="F167" t="s">
        <v>299</v>
      </c>
      <c r="G167" t="s">
        <v>19</v>
      </c>
      <c r="H167" t="s">
        <v>39</v>
      </c>
      <c r="I16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Smithriley.smith294@example.comAustraliaWorkshop: Excel Mastery0.97916666666666725D Attendee</v>
      </c>
      <c r="J167" t="str">
        <f>IF(COUNTIF(EDA_Table[Temp ID],EDA_Table[[#This Row],[Temp ID]])&gt;1,"Duplicate","Unique")</f>
        <v>Duplicate</v>
      </c>
    </row>
    <row r="168" spans="1:10">
      <c r="A168" t="s">
        <v>151</v>
      </c>
      <c r="B168" t="s">
        <v>301</v>
      </c>
      <c r="C168" t="s">
        <v>55</v>
      </c>
      <c r="D168" t="s">
        <v>79</v>
      </c>
      <c r="E168" s="1">
        <v>0.375</v>
      </c>
      <c r="F168" t="s">
        <v>299</v>
      </c>
      <c r="G168" t="s">
        <v>19</v>
      </c>
      <c r="H168" t="s">
        <v>39</v>
      </c>
      <c r="I16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Clarkriley.clark247@example.comBrazilPanel: Women in Tech0.37525D Attendee</v>
      </c>
      <c r="J168" t="str">
        <f>IF(COUNTIF(EDA_Table[Temp ID],EDA_Table[[#This Row],[Temp ID]])&gt;1,"Duplicate","Unique")</f>
        <v>Unique</v>
      </c>
    </row>
    <row r="169" spans="1:10">
      <c r="A169" t="s">
        <v>173</v>
      </c>
      <c r="B169" t="s">
        <v>302</v>
      </c>
      <c r="C169" t="s">
        <v>101</v>
      </c>
      <c r="E169" s="2">
        <v>4.1666666666666664E-2</v>
      </c>
      <c r="F169" t="s">
        <v>303</v>
      </c>
      <c r="G169" t="s">
        <v>52</v>
      </c>
      <c r="H169" t="s">
        <v>39</v>
      </c>
      <c r="I16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Allenchris.allen499@example.comJapan0.041666666666666726AVeganAttendee</v>
      </c>
      <c r="J169" t="str">
        <f>IF(COUNTIF(EDA_Table[Temp ID],EDA_Table[[#This Row],[Temp ID]])&gt;1,"Duplicate","Unique")</f>
        <v>Duplicate</v>
      </c>
    </row>
    <row r="170" spans="1:10">
      <c r="A170" t="s">
        <v>197</v>
      </c>
      <c r="B170" t="s">
        <v>304</v>
      </c>
      <c r="C170" t="s">
        <v>34</v>
      </c>
      <c r="D170" t="s">
        <v>19</v>
      </c>
      <c r="E170" s="2">
        <v>0.16666666666666666</v>
      </c>
      <c r="F170" t="s">
        <v>303</v>
      </c>
      <c r="G170" t="s">
        <v>52</v>
      </c>
      <c r="H170" t="s">
        <v>39</v>
      </c>
      <c r="I17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Lewisjamie.lewis742@example.comGermany 0.16666666666666726AVeganAttendee</v>
      </c>
      <c r="J170" t="str">
        <f>IF(COUNTIF(EDA_Table[Temp ID],EDA_Table[[#This Row],[Temp ID]])&gt;1,"Duplicate","Unique")</f>
        <v>Duplicate</v>
      </c>
    </row>
    <row r="171" spans="1:10">
      <c r="A171" t="s">
        <v>197</v>
      </c>
      <c r="B171" t="s">
        <v>304</v>
      </c>
      <c r="C171" t="s">
        <v>34</v>
      </c>
      <c r="D171" t="s">
        <v>19</v>
      </c>
      <c r="E171" s="2">
        <v>0.16666666666666666</v>
      </c>
      <c r="F171" t="s">
        <v>303</v>
      </c>
      <c r="G171" t="s">
        <v>52</v>
      </c>
      <c r="H171" t="s">
        <v>39</v>
      </c>
      <c r="I17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Lewisjamie.lewis742@example.comGermany 0.16666666666666726AVeganAttendee</v>
      </c>
      <c r="J171" t="str">
        <f>IF(COUNTIF(EDA_Table[Temp ID],EDA_Table[[#This Row],[Temp ID]])&gt;1,"Duplicate","Unique")</f>
        <v>Duplicate</v>
      </c>
    </row>
    <row r="172" spans="1:10">
      <c r="A172" t="s">
        <v>64</v>
      </c>
      <c r="B172" t="s">
        <v>305</v>
      </c>
      <c r="C172" t="s">
        <v>101</v>
      </c>
      <c r="D172" t="s">
        <v>50</v>
      </c>
      <c r="E172" s="1">
        <v>4.1666666666666664E-2</v>
      </c>
      <c r="F172" t="s">
        <v>303</v>
      </c>
      <c r="G172" t="s">
        <v>91</v>
      </c>
      <c r="H172" t="s">
        <v>39</v>
      </c>
      <c r="I17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Smithjamie.smith567@example.comJapanWorkshop: Excel Mastery0.041666666666666726AHalalAttendee</v>
      </c>
      <c r="J172" t="str">
        <f>IF(COUNTIF(EDA_Table[Temp ID],EDA_Table[[#This Row],[Temp ID]])&gt;1,"Duplicate","Unique")</f>
        <v>Unique</v>
      </c>
    </row>
    <row r="173" spans="1:10">
      <c r="A173" t="s">
        <v>257</v>
      </c>
      <c r="B173" t="s">
        <v>306</v>
      </c>
      <c r="C173" t="s">
        <v>19</v>
      </c>
      <c r="D173" t="s">
        <v>45</v>
      </c>
      <c r="E173" s="1">
        <v>0.375</v>
      </c>
      <c r="F173" t="s">
        <v>303</v>
      </c>
      <c r="G173" t="s">
        <v>31</v>
      </c>
      <c r="H173" t="s">
        <v>39</v>
      </c>
      <c r="I17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Walkerjamie.walker998@example.com Keynote: Future of Data0.37526ANoneAttendee</v>
      </c>
      <c r="J173" t="str">
        <f>IF(COUNTIF(EDA_Table[Temp ID],EDA_Table[[#This Row],[Temp ID]])&gt;1,"Duplicate","Unique")</f>
        <v>Unique</v>
      </c>
    </row>
    <row r="174" spans="1:10">
      <c r="A174" t="s">
        <v>173</v>
      </c>
      <c r="B174" t="s">
        <v>302</v>
      </c>
      <c r="C174" t="s">
        <v>101</v>
      </c>
      <c r="E174" s="2">
        <v>4.1666666666666664E-2</v>
      </c>
      <c r="F174" t="s">
        <v>303</v>
      </c>
      <c r="G174" t="s">
        <v>52</v>
      </c>
      <c r="H174" t="s">
        <v>39</v>
      </c>
      <c r="I17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Allenchris.allen499@example.comJapan0.041666666666666726AVeganAttendee</v>
      </c>
      <c r="J174" t="str">
        <f>IF(COUNTIF(EDA_Table[Temp ID],EDA_Table[[#This Row],[Temp ID]])&gt;1,"Duplicate","Unique")</f>
        <v>Duplicate</v>
      </c>
    </row>
    <row r="175" spans="1:10">
      <c r="A175" t="s">
        <v>307</v>
      </c>
      <c r="B175" t="s">
        <v>308</v>
      </c>
      <c r="C175" t="s">
        <v>12</v>
      </c>
      <c r="D175" t="s">
        <v>71</v>
      </c>
      <c r="E175" s="1">
        <v>0.10416666666666667</v>
      </c>
      <c r="F175" t="s">
        <v>309</v>
      </c>
      <c r="G175" t="s">
        <v>19</v>
      </c>
      <c r="H175" t="s">
        <v>39</v>
      </c>
      <c r="I17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Clarkdrew.clark841@example.comUnited StatesWebinar: AI Ethics0.10416666666666726B Attendee</v>
      </c>
      <c r="J175" t="str">
        <f>IF(COUNTIF(EDA_Table[Temp ID],EDA_Table[[#This Row],[Temp ID]])&gt;1,"Duplicate","Unique")</f>
        <v>Unique</v>
      </c>
    </row>
    <row r="176" spans="1:10">
      <c r="A176" t="s">
        <v>310</v>
      </c>
      <c r="B176" t="s">
        <v>311</v>
      </c>
      <c r="C176" t="s">
        <v>112</v>
      </c>
      <c r="E176" s="2">
        <v>0.95833333333333337</v>
      </c>
      <c r="F176" t="s">
        <v>312</v>
      </c>
      <c r="G176" t="s">
        <v>19</v>
      </c>
      <c r="H176" t="s">
        <v>39</v>
      </c>
      <c r="I17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Jesse Smithjesse.smith573@example.comNigeria0.95833333333333326C Attendee</v>
      </c>
      <c r="J176" t="str">
        <f>IF(COUNTIF(EDA_Table[Temp ID],EDA_Table[[#This Row],[Temp ID]])&gt;1,"Duplicate","Unique")</f>
        <v>Unique</v>
      </c>
    </row>
    <row r="177" spans="1:10">
      <c r="A177" t="s">
        <v>313</v>
      </c>
      <c r="B177" t="s">
        <v>314</v>
      </c>
      <c r="C177" t="s">
        <v>78</v>
      </c>
      <c r="D177" t="s">
        <v>71</v>
      </c>
      <c r="E177" s="2">
        <v>0.66666666666666663</v>
      </c>
      <c r="F177" t="s">
        <v>312</v>
      </c>
      <c r="H177" t="s">
        <v>39</v>
      </c>
      <c r="I17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Browncasey.brown250@example.comAustraliaWebinar: AI Ethics0.66666666666666726CAttendee</v>
      </c>
      <c r="J177" t="str">
        <f>IF(COUNTIF(EDA_Table[Temp ID],EDA_Table[[#This Row],[Temp ID]])&gt;1,"Duplicate","Unique")</f>
        <v>Duplicate</v>
      </c>
    </row>
    <row r="178" spans="1:10">
      <c r="A178" t="s">
        <v>313</v>
      </c>
      <c r="B178" t="s">
        <v>314</v>
      </c>
      <c r="C178" t="s">
        <v>78</v>
      </c>
      <c r="D178" t="s">
        <v>71</v>
      </c>
      <c r="E178" s="2">
        <v>0.66666666666666663</v>
      </c>
      <c r="F178" t="s">
        <v>312</v>
      </c>
      <c r="H178" t="s">
        <v>39</v>
      </c>
      <c r="I17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Browncasey.brown250@example.comAustraliaWebinar: AI Ethics0.66666666666666726CAttendee</v>
      </c>
      <c r="J178" t="str">
        <f>IF(COUNTIF(EDA_Table[Temp ID],EDA_Table[[#This Row],[Temp ID]])&gt;1,"Duplicate","Unique")</f>
        <v>Duplicate</v>
      </c>
    </row>
    <row r="179" spans="1:10">
      <c r="A179" t="s">
        <v>151</v>
      </c>
      <c r="B179" t="s">
        <v>315</v>
      </c>
      <c r="C179" t="s">
        <v>19</v>
      </c>
      <c r="D179" t="s">
        <v>79</v>
      </c>
      <c r="E179" s="2">
        <v>0.14583333333333334</v>
      </c>
      <c r="F179" t="s">
        <v>312</v>
      </c>
      <c r="G179" t="s">
        <v>19</v>
      </c>
      <c r="H179" t="s">
        <v>39</v>
      </c>
      <c r="I17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Clarkriley.clark574@example.com Panel: Women in Tech0.14583333333333326C Attendee</v>
      </c>
      <c r="J179" t="str">
        <f>IF(COUNTIF(EDA_Table[Temp ID],EDA_Table[[#This Row],[Temp ID]])&gt;1,"Duplicate","Unique")</f>
        <v>Duplicate</v>
      </c>
    </row>
    <row r="180" spans="1:10">
      <c r="A180" t="s">
        <v>151</v>
      </c>
      <c r="B180" t="s">
        <v>315</v>
      </c>
      <c r="C180" t="s">
        <v>19</v>
      </c>
      <c r="D180" t="s">
        <v>79</v>
      </c>
      <c r="E180" s="2">
        <v>0.14583333333333334</v>
      </c>
      <c r="F180" t="s">
        <v>312</v>
      </c>
      <c r="G180" t="s">
        <v>19</v>
      </c>
      <c r="H180" t="s">
        <v>39</v>
      </c>
      <c r="I18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Clarkriley.clark574@example.com Panel: Women in Tech0.14583333333333326C Attendee</v>
      </c>
      <c r="J180" t="str">
        <f>IF(COUNTIF(EDA_Table[Temp ID],EDA_Table[[#This Row],[Temp ID]])&gt;1,"Duplicate","Unique")</f>
        <v>Duplicate</v>
      </c>
    </row>
    <row r="181" spans="1:10">
      <c r="A181" t="s">
        <v>310</v>
      </c>
      <c r="B181" t="s">
        <v>316</v>
      </c>
      <c r="D181" t="s">
        <v>50</v>
      </c>
      <c r="E181" s="1">
        <v>0.22916666666666666</v>
      </c>
      <c r="F181" t="s">
        <v>312</v>
      </c>
      <c r="G181" t="s">
        <v>91</v>
      </c>
      <c r="H181" t="s">
        <v>39</v>
      </c>
      <c r="I18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Jesse Smithjesse.smith446@example.comWorkshop: Excel Mastery0.22916666666666726CHalalAttendee</v>
      </c>
      <c r="J181" t="str">
        <f>IF(COUNTIF(EDA_Table[Temp ID],EDA_Table[[#This Row],[Temp ID]])&gt;1,"Duplicate","Unique")</f>
        <v>Unique</v>
      </c>
    </row>
    <row r="182" spans="1:10">
      <c r="A182" t="s">
        <v>81</v>
      </c>
      <c r="B182" t="s">
        <v>317</v>
      </c>
      <c r="D182" t="s">
        <v>79</v>
      </c>
      <c r="E182" s="2">
        <v>0.20833333333333334</v>
      </c>
      <c r="F182" t="s">
        <v>318</v>
      </c>
      <c r="G182" t="s">
        <v>31</v>
      </c>
      <c r="H182" t="s">
        <v>39</v>
      </c>
      <c r="I18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Hallcasey.hall51@example.comPanel: Women in Tech0.20833333333333326DNoneAttendee</v>
      </c>
      <c r="J182" t="str">
        <f>IF(COUNTIF(EDA_Table[Temp ID],EDA_Table[[#This Row],[Temp ID]])&gt;1,"Duplicate","Unique")</f>
        <v>Unique</v>
      </c>
    </row>
    <row r="183" spans="1:10">
      <c r="A183" t="s">
        <v>255</v>
      </c>
      <c r="B183" t="s">
        <v>319</v>
      </c>
      <c r="C183" t="s">
        <v>37</v>
      </c>
      <c r="D183" t="s">
        <v>50</v>
      </c>
      <c r="E183" s="2">
        <v>0.85416666666666663</v>
      </c>
      <c r="F183" t="s">
        <v>318</v>
      </c>
      <c r="G183" t="s">
        <v>28</v>
      </c>
      <c r="H183" t="s">
        <v>39</v>
      </c>
      <c r="I18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Walkertaylor.walker805@example.comCanadaWorkshop: Excel Mastery0.85416666666666726DKosherAttendee</v>
      </c>
      <c r="J183" t="str">
        <f>IF(COUNTIF(EDA_Table[Temp ID],EDA_Table[[#This Row],[Temp ID]])&gt;1,"Duplicate","Unique")</f>
        <v>Duplicate</v>
      </c>
    </row>
    <row r="184" spans="1:10">
      <c r="A184" t="s">
        <v>255</v>
      </c>
      <c r="B184" t="s">
        <v>319</v>
      </c>
      <c r="C184" t="s">
        <v>37</v>
      </c>
      <c r="D184" t="s">
        <v>50</v>
      </c>
      <c r="E184" s="2">
        <v>0.85416666666666663</v>
      </c>
      <c r="F184" t="s">
        <v>318</v>
      </c>
      <c r="G184" t="s">
        <v>28</v>
      </c>
      <c r="H184" t="s">
        <v>39</v>
      </c>
      <c r="I18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Walkertaylor.walker805@example.comCanadaWorkshop: Excel Mastery0.85416666666666726DKosherAttendee</v>
      </c>
      <c r="J184" t="str">
        <f>IF(COUNTIF(EDA_Table[Temp ID],EDA_Table[[#This Row],[Temp ID]])&gt;1,"Duplicate","Unique")</f>
        <v>Duplicate</v>
      </c>
    </row>
    <row r="185" spans="1:10">
      <c r="A185" t="s">
        <v>88</v>
      </c>
      <c r="B185" t="s">
        <v>320</v>
      </c>
      <c r="C185" t="s">
        <v>112</v>
      </c>
      <c r="D185" t="s">
        <v>19</v>
      </c>
      <c r="E185" s="1">
        <v>0.52083333333333337</v>
      </c>
      <c r="F185" t="s">
        <v>321</v>
      </c>
      <c r="H185" t="s">
        <v>39</v>
      </c>
      <c r="I18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Lewisjordan.lewis221@example.comNigeria 0.52083333333333327AAttendee</v>
      </c>
      <c r="J185" t="str">
        <f>IF(COUNTIF(EDA_Table[Temp ID],EDA_Table[[#This Row],[Temp ID]])&gt;1,"Duplicate","Unique")</f>
        <v>Unique</v>
      </c>
    </row>
    <row r="186" spans="1:10">
      <c r="A186" t="s">
        <v>322</v>
      </c>
      <c r="B186" t="s">
        <v>323</v>
      </c>
      <c r="C186" t="s">
        <v>68</v>
      </c>
      <c r="D186" t="s">
        <v>79</v>
      </c>
      <c r="E186" s="1">
        <v>0.33333333333333331</v>
      </c>
      <c r="F186" t="s">
        <v>324</v>
      </c>
      <c r="G186" t="s">
        <v>28</v>
      </c>
      <c r="H186" t="s">
        <v>39</v>
      </c>
      <c r="I18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Walkerdrew.walker247@example.comIndiaPanel: Women in Tech0.33333333333333327BKosherAttendee</v>
      </c>
      <c r="J186" t="str">
        <f>IF(COUNTIF(EDA_Table[Temp ID],EDA_Table[[#This Row],[Temp ID]])&gt;1,"Duplicate","Unique")</f>
        <v>Duplicate</v>
      </c>
    </row>
    <row r="187" spans="1:10">
      <c r="A187" t="s">
        <v>83</v>
      </c>
      <c r="B187" t="s">
        <v>325</v>
      </c>
      <c r="C187" t="s">
        <v>101</v>
      </c>
      <c r="D187" t="s">
        <v>13</v>
      </c>
      <c r="E187" s="1">
        <v>0.60416666666666663</v>
      </c>
      <c r="F187" t="s">
        <v>324</v>
      </c>
      <c r="H187" t="s">
        <v>39</v>
      </c>
      <c r="I18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Walkerchris.walker422@example.comJapanTraining: Dashboard Design0.60416666666666727BAttendee</v>
      </c>
      <c r="J187" t="str">
        <f>IF(COUNTIF(EDA_Table[Temp ID],EDA_Table[[#This Row],[Temp ID]])&gt;1,"Duplicate","Unique")</f>
        <v>Duplicate</v>
      </c>
    </row>
    <row r="188" spans="1:10">
      <c r="A188" t="s">
        <v>83</v>
      </c>
      <c r="B188" t="s">
        <v>325</v>
      </c>
      <c r="C188" t="s">
        <v>101</v>
      </c>
      <c r="D188" t="s">
        <v>13</v>
      </c>
      <c r="E188" s="1">
        <v>0.60416666666666663</v>
      </c>
      <c r="F188" t="s">
        <v>324</v>
      </c>
      <c r="H188" t="s">
        <v>39</v>
      </c>
      <c r="I18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Walkerchris.walker422@example.comJapanTraining: Dashboard Design0.60416666666666727BAttendee</v>
      </c>
      <c r="J188" t="str">
        <f>IF(COUNTIF(EDA_Table[Temp ID],EDA_Table[[#This Row],[Temp ID]])&gt;1,"Duplicate","Unique")</f>
        <v>Duplicate</v>
      </c>
    </row>
    <row r="189" spans="1:10">
      <c r="A189" t="s">
        <v>88</v>
      </c>
      <c r="B189" t="s">
        <v>326</v>
      </c>
      <c r="C189" t="s">
        <v>112</v>
      </c>
      <c r="D189" t="s">
        <v>79</v>
      </c>
      <c r="E189" s="2">
        <v>0.9375</v>
      </c>
      <c r="F189" t="s">
        <v>324</v>
      </c>
      <c r="G189" t="s">
        <v>52</v>
      </c>
      <c r="H189" t="s">
        <v>39</v>
      </c>
      <c r="I18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Lewisjordan.lewis410@example.comNigeriaPanel: Women in Tech0.937527BVeganAttendee</v>
      </c>
      <c r="J189" t="str">
        <f>IF(COUNTIF(EDA_Table[Temp ID],EDA_Table[[#This Row],[Temp ID]])&gt;1,"Duplicate","Unique")</f>
        <v>Unique</v>
      </c>
    </row>
    <row r="190" spans="1:10">
      <c r="A190" t="s">
        <v>214</v>
      </c>
      <c r="B190" t="s">
        <v>327</v>
      </c>
      <c r="C190" t="s">
        <v>37</v>
      </c>
      <c r="E190" s="1">
        <v>0.5625</v>
      </c>
      <c r="F190" t="s">
        <v>324</v>
      </c>
      <c r="G190" t="s">
        <v>28</v>
      </c>
      <c r="H190" t="s">
        <v>39</v>
      </c>
      <c r="I19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Clarkjordan.clark263@example.comCanada0.562527BKosherAttendee</v>
      </c>
      <c r="J190" t="str">
        <f>IF(COUNTIF(EDA_Table[Temp ID],EDA_Table[[#This Row],[Temp ID]])&gt;1,"Duplicate","Unique")</f>
        <v>Unique</v>
      </c>
    </row>
    <row r="191" spans="1:10">
      <c r="A191" t="s">
        <v>322</v>
      </c>
      <c r="B191" t="s">
        <v>323</v>
      </c>
      <c r="C191" t="s">
        <v>68</v>
      </c>
      <c r="D191" t="s">
        <v>79</v>
      </c>
      <c r="E191" s="1">
        <v>0.33333333333333331</v>
      </c>
      <c r="F191" t="s">
        <v>324</v>
      </c>
      <c r="G191" t="s">
        <v>28</v>
      </c>
      <c r="H191" t="s">
        <v>39</v>
      </c>
      <c r="I19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Walkerdrew.walker247@example.comIndiaPanel: Women in Tech0.33333333333333327BKosherAttendee</v>
      </c>
      <c r="J191" t="str">
        <f>IF(COUNTIF(EDA_Table[Temp ID],EDA_Table[[#This Row],[Temp ID]])&gt;1,"Duplicate","Unique")</f>
        <v>Duplicate</v>
      </c>
    </row>
    <row r="192" spans="1:10">
      <c r="A192" t="s">
        <v>92</v>
      </c>
      <c r="B192" t="s">
        <v>328</v>
      </c>
      <c r="C192" t="s">
        <v>68</v>
      </c>
      <c r="D192" t="s">
        <v>71</v>
      </c>
      <c r="E192" s="1">
        <v>0.70833333333333337</v>
      </c>
      <c r="F192" t="s">
        <v>329</v>
      </c>
      <c r="G192" t="s">
        <v>15</v>
      </c>
      <c r="H192" t="s">
        <v>39</v>
      </c>
      <c r="I19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Brownjordan.brown510@example.comIndiaWebinar: AI Ethics0.70833333333333327CVegetarianAttendee</v>
      </c>
      <c r="J192" t="str">
        <f>IF(COUNTIF(EDA_Table[Temp ID],EDA_Table[[#This Row],[Temp ID]])&gt;1,"Duplicate","Unique")</f>
        <v>Unique</v>
      </c>
    </row>
    <row r="193" spans="1:10">
      <c r="A193" t="s">
        <v>330</v>
      </c>
      <c r="B193" t="s">
        <v>331</v>
      </c>
      <c r="C193" t="s">
        <v>78</v>
      </c>
      <c r="D193" t="s">
        <v>50</v>
      </c>
      <c r="E193" s="2">
        <v>0.91666666666666663</v>
      </c>
      <c r="F193" t="s">
        <v>332</v>
      </c>
      <c r="G193" t="s">
        <v>19</v>
      </c>
      <c r="H193" t="s">
        <v>39</v>
      </c>
      <c r="I19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Walkeralex.walker322@example.comAustraliaWorkshop: Excel Mastery0.91666666666666727D Attendee</v>
      </c>
      <c r="J193" t="str">
        <f>IF(COUNTIF(EDA_Table[Temp ID],EDA_Table[[#This Row],[Temp ID]])&gt;1,"Duplicate","Unique")</f>
        <v>Unique</v>
      </c>
    </row>
    <row r="194" spans="1:10">
      <c r="A194" t="s">
        <v>117</v>
      </c>
      <c r="B194" t="s">
        <v>333</v>
      </c>
      <c r="C194" t="s">
        <v>78</v>
      </c>
      <c r="D194" t="s">
        <v>71</v>
      </c>
      <c r="E194" s="2">
        <v>0.5625</v>
      </c>
      <c r="F194" t="s">
        <v>332</v>
      </c>
      <c r="G194" t="s">
        <v>28</v>
      </c>
      <c r="H194" t="s">
        <v>39</v>
      </c>
      <c r="I19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Wilsontaylor.wilson835@example.comAustraliaWebinar: AI Ethics0.562527DKosherAttendee</v>
      </c>
      <c r="J194" t="str">
        <f>IF(COUNTIF(EDA_Table[Temp ID],EDA_Table[[#This Row],[Temp ID]])&gt;1,"Duplicate","Unique")</f>
        <v>Unique</v>
      </c>
    </row>
    <row r="195" spans="1:10">
      <c r="A195" t="s">
        <v>334</v>
      </c>
      <c r="B195" t="s">
        <v>335</v>
      </c>
      <c r="C195" t="s">
        <v>78</v>
      </c>
      <c r="D195" t="s">
        <v>71</v>
      </c>
      <c r="E195" s="1">
        <v>0.6875</v>
      </c>
      <c r="F195" t="s">
        <v>332</v>
      </c>
      <c r="G195" t="s">
        <v>19</v>
      </c>
      <c r="H195" t="s">
        <v>39</v>
      </c>
      <c r="I19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Johnsonjamie.johnson747@example.comAustraliaWebinar: AI Ethics0.687527D Attendee</v>
      </c>
      <c r="J195" t="str">
        <f>IF(COUNTIF(EDA_Table[Temp ID],EDA_Table[[#This Row],[Temp ID]])&gt;1,"Duplicate","Unique")</f>
        <v>Unique</v>
      </c>
    </row>
    <row r="196" spans="1:10">
      <c r="A196" t="s">
        <v>17</v>
      </c>
      <c r="B196" t="s">
        <v>336</v>
      </c>
      <c r="E196" s="2">
        <v>0.89583333333333337</v>
      </c>
      <c r="F196" t="s">
        <v>337</v>
      </c>
      <c r="G196" t="s">
        <v>31</v>
      </c>
      <c r="H196" t="s">
        <v>39</v>
      </c>
      <c r="I19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Allenriley.allen585@example.com0.89583333333333328ANoneAttendee</v>
      </c>
      <c r="J196" t="str">
        <f>IF(COUNTIF(EDA_Table[Temp ID],EDA_Table[[#This Row],[Temp ID]])&gt;1,"Duplicate","Unique")</f>
        <v>Unique</v>
      </c>
    </row>
    <row r="197" spans="1:10">
      <c r="A197" t="s">
        <v>214</v>
      </c>
      <c r="B197" t="s">
        <v>338</v>
      </c>
      <c r="C197" t="s">
        <v>27</v>
      </c>
      <c r="D197" t="s">
        <v>13</v>
      </c>
      <c r="E197" s="1">
        <v>0.29166666666666669</v>
      </c>
      <c r="F197" t="s">
        <v>339</v>
      </c>
      <c r="G197" t="s">
        <v>52</v>
      </c>
      <c r="H197" t="s">
        <v>39</v>
      </c>
      <c r="I19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Clarkjordan.clark609@example.comFranceTraining: Dashboard Design0.29166666666666728BVeganAttendee</v>
      </c>
      <c r="J197" t="str">
        <f>IF(COUNTIF(EDA_Table[Temp ID],EDA_Table[[#This Row],[Temp ID]])&gt;1,"Duplicate","Unique")</f>
        <v>Unique</v>
      </c>
    </row>
    <row r="198" spans="1:10">
      <c r="A198" t="s">
        <v>117</v>
      </c>
      <c r="B198" t="s">
        <v>340</v>
      </c>
      <c r="C198" t="s">
        <v>68</v>
      </c>
      <c r="D198" t="s">
        <v>50</v>
      </c>
      <c r="E198" s="1">
        <v>0.29166666666666669</v>
      </c>
      <c r="F198" t="s">
        <v>339</v>
      </c>
      <c r="G198" t="s">
        <v>19</v>
      </c>
      <c r="H198" t="s">
        <v>39</v>
      </c>
      <c r="I19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Wilsontaylor.wilson828@example.comIndiaWorkshop: Excel Mastery0.29166666666666728B Attendee</v>
      </c>
      <c r="J198" t="str">
        <f>IF(COUNTIF(EDA_Table[Temp ID],EDA_Table[[#This Row],[Temp ID]])&gt;1,"Duplicate","Unique")</f>
        <v>Unique</v>
      </c>
    </row>
    <row r="199" spans="1:10">
      <c r="A199" t="s">
        <v>269</v>
      </c>
      <c r="B199" t="s">
        <v>341</v>
      </c>
      <c r="C199" t="s">
        <v>78</v>
      </c>
      <c r="D199" t="s">
        <v>79</v>
      </c>
      <c r="E199" s="2">
        <v>0.91666666666666663</v>
      </c>
      <c r="F199" t="s">
        <v>339</v>
      </c>
      <c r="H199" t="s">
        <v>39</v>
      </c>
      <c r="I19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Walkercasey.walker109@example.comAustraliaPanel: Women in Tech0.91666666666666728BAttendee</v>
      </c>
      <c r="J199" t="str">
        <f>IF(COUNTIF(EDA_Table[Temp ID],EDA_Table[[#This Row],[Temp ID]])&gt;1,"Duplicate","Unique")</f>
        <v>Unique</v>
      </c>
    </row>
    <row r="200" spans="1:10">
      <c r="A200" t="s">
        <v>265</v>
      </c>
      <c r="B200" t="s">
        <v>342</v>
      </c>
      <c r="C200" t="s">
        <v>27</v>
      </c>
      <c r="D200" t="s">
        <v>19</v>
      </c>
      <c r="E200" s="2">
        <v>0.9375</v>
      </c>
      <c r="F200" t="s">
        <v>343</v>
      </c>
      <c r="G200" t="s">
        <v>19</v>
      </c>
      <c r="H200" t="s">
        <v>39</v>
      </c>
      <c r="I20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Wilsonalex.wilson259@example.comFrance 0.937528D Attendee</v>
      </c>
      <c r="J200" t="str">
        <f>IF(COUNTIF(EDA_Table[Temp ID],EDA_Table[[#This Row],[Temp ID]])&gt;1,"Duplicate","Unique")</f>
        <v>Unique</v>
      </c>
    </row>
    <row r="201" spans="1:10">
      <c r="A201" t="s">
        <v>147</v>
      </c>
      <c r="B201" t="s">
        <v>344</v>
      </c>
      <c r="C201" t="s">
        <v>34</v>
      </c>
      <c r="D201" t="s">
        <v>19</v>
      </c>
      <c r="E201" s="2">
        <v>0.8125</v>
      </c>
      <c r="F201" t="s">
        <v>345</v>
      </c>
      <c r="G201" t="s">
        <v>28</v>
      </c>
      <c r="H201" t="s">
        <v>39</v>
      </c>
      <c r="I20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Browntaylor.brown62@example.comGermany 0.812529AKosherAttendee</v>
      </c>
      <c r="J201" t="str">
        <f>IF(COUNTIF(EDA_Table[Temp ID],EDA_Table[[#This Row],[Temp ID]])&gt;1,"Duplicate","Unique")</f>
        <v>Duplicate</v>
      </c>
    </row>
    <row r="202" spans="1:10">
      <c r="A202" t="s">
        <v>346</v>
      </c>
      <c r="B202" t="s">
        <v>347</v>
      </c>
      <c r="C202" t="s">
        <v>34</v>
      </c>
      <c r="D202" t="s">
        <v>19</v>
      </c>
      <c r="E202" s="1">
        <v>0.33333333333333331</v>
      </c>
      <c r="F202" t="s">
        <v>345</v>
      </c>
      <c r="G202" t="s">
        <v>19</v>
      </c>
      <c r="H202" t="s">
        <v>39</v>
      </c>
      <c r="I20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Wilsonriley.wilson126@example.comGermany 0.33333333333333329A Attendee</v>
      </c>
      <c r="J202" t="str">
        <f>IF(COUNTIF(EDA_Table[Temp ID],EDA_Table[[#This Row],[Temp ID]])&gt;1,"Duplicate","Unique")</f>
        <v>Unique</v>
      </c>
    </row>
    <row r="203" spans="1:10">
      <c r="A203" t="s">
        <v>147</v>
      </c>
      <c r="B203" t="s">
        <v>344</v>
      </c>
      <c r="C203" t="s">
        <v>34</v>
      </c>
      <c r="D203" t="s">
        <v>19</v>
      </c>
      <c r="E203" s="2">
        <v>0.8125</v>
      </c>
      <c r="F203" t="s">
        <v>345</v>
      </c>
      <c r="G203" t="s">
        <v>28</v>
      </c>
      <c r="H203" t="s">
        <v>39</v>
      </c>
      <c r="I20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Browntaylor.brown62@example.comGermany 0.812529AKosherAttendee</v>
      </c>
      <c r="J203" t="str">
        <f>IF(COUNTIF(EDA_Table[Temp ID],EDA_Table[[#This Row],[Temp ID]])&gt;1,"Duplicate","Unique")</f>
        <v>Duplicate</v>
      </c>
    </row>
    <row r="204" spans="1:10">
      <c r="A204" t="s">
        <v>310</v>
      </c>
      <c r="B204" t="s">
        <v>348</v>
      </c>
      <c r="C204" t="s">
        <v>34</v>
      </c>
      <c r="E204" s="2">
        <v>0.47916666666666669</v>
      </c>
      <c r="F204" t="s">
        <v>345</v>
      </c>
      <c r="G204" t="s">
        <v>31</v>
      </c>
      <c r="H204" t="s">
        <v>39</v>
      </c>
      <c r="I20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Jesse Smithjesse.smith620@example.comGermany0.47916666666666729ANoneAttendee</v>
      </c>
      <c r="J204" t="str">
        <f>IF(COUNTIF(EDA_Table[Temp ID],EDA_Table[[#This Row],[Temp ID]])&gt;1,"Duplicate","Unique")</f>
        <v>Unique</v>
      </c>
    </row>
    <row r="205" spans="1:10">
      <c r="A205" t="s">
        <v>92</v>
      </c>
      <c r="B205" t="s">
        <v>349</v>
      </c>
      <c r="C205" t="s">
        <v>68</v>
      </c>
      <c r="D205" t="s">
        <v>13</v>
      </c>
      <c r="E205" s="1">
        <v>0.125</v>
      </c>
      <c r="F205" t="s">
        <v>345</v>
      </c>
      <c r="G205" t="s">
        <v>52</v>
      </c>
      <c r="H205" t="s">
        <v>39</v>
      </c>
      <c r="I20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Brownjordan.brown2@example.comIndiaTraining: Dashboard Design0.12529AVeganAttendee</v>
      </c>
      <c r="J205" t="str">
        <f>IF(COUNTIF(EDA_Table[Temp ID],EDA_Table[[#This Row],[Temp ID]])&gt;1,"Duplicate","Unique")</f>
        <v>Duplicate</v>
      </c>
    </row>
    <row r="206" spans="1:10">
      <c r="A206" t="s">
        <v>66</v>
      </c>
      <c r="B206" t="s">
        <v>350</v>
      </c>
      <c r="C206" t="s">
        <v>12</v>
      </c>
      <c r="D206" t="s">
        <v>50</v>
      </c>
      <c r="E206" s="1">
        <v>8.3333333333333329E-2</v>
      </c>
      <c r="F206" t="s">
        <v>345</v>
      </c>
      <c r="G206" t="s">
        <v>15</v>
      </c>
      <c r="H206" t="s">
        <v>39</v>
      </c>
      <c r="I20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Allencasey.allen785@example.comUnited StatesWorkshop: Excel Mastery0.083333333333333329AVegetarianAttendee</v>
      </c>
      <c r="J206" t="str">
        <f>IF(COUNTIF(EDA_Table[Temp ID],EDA_Table[[#This Row],[Temp ID]])&gt;1,"Duplicate","Unique")</f>
        <v>Unique</v>
      </c>
    </row>
    <row r="207" spans="1:10">
      <c r="A207" t="s">
        <v>92</v>
      </c>
      <c r="B207" t="s">
        <v>349</v>
      </c>
      <c r="C207" t="s">
        <v>68</v>
      </c>
      <c r="D207" t="s">
        <v>13</v>
      </c>
      <c r="E207" s="1">
        <v>0.125</v>
      </c>
      <c r="F207" t="s">
        <v>345</v>
      </c>
      <c r="G207" t="s">
        <v>52</v>
      </c>
      <c r="H207" t="s">
        <v>39</v>
      </c>
      <c r="I20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Brownjordan.brown2@example.comIndiaTraining: Dashboard Design0.12529AVeganAttendee</v>
      </c>
      <c r="J207" t="str">
        <f>IF(COUNTIF(EDA_Table[Temp ID],EDA_Table[[#This Row],[Temp ID]])&gt;1,"Duplicate","Unique")</f>
        <v>Duplicate</v>
      </c>
    </row>
    <row r="208" spans="1:10">
      <c r="A208" t="s">
        <v>10</v>
      </c>
      <c r="B208" t="s">
        <v>351</v>
      </c>
      <c r="C208" t="s">
        <v>19</v>
      </c>
      <c r="D208" t="s">
        <v>79</v>
      </c>
      <c r="E208" s="1">
        <v>0.66666666666666663</v>
      </c>
      <c r="F208" t="s">
        <v>352</v>
      </c>
      <c r="G208" t="s">
        <v>28</v>
      </c>
      <c r="H208" t="s">
        <v>39</v>
      </c>
      <c r="I20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Smithjordan.smith413@example.com Panel: Women in Tech0.66666666666666729BKosherAttendee</v>
      </c>
      <c r="J208" t="str">
        <f>IF(COUNTIF(EDA_Table[Temp ID],EDA_Table[[#This Row],[Temp ID]])&gt;1,"Duplicate","Unique")</f>
        <v>Unique</v>
      </c>
    </row>
    <row r="209" spans="1:10">
      <c r="A209" t="s">
        <v>255</v>
      </c>
      <c r="B209" t="s">
        <v>353</v>
      </c>
      <c r="C209" t="s">
        <v>12</v>
      </c>
      <c r="D209" t="s">
        <v>71</v>
      </c>
      <c r="E209" s="2">
        <v>0.64583333333333337</v>
      </c>
      <c r="F209" t="s">
        <v>354</v>
      </c>
      <c r="G209" t="s">
        <v>15</v>
      </c>
      <c r="H209" t="s">
        <v>39</v>
      </c>
      <c r="I20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Walkertaylor.walker106@example.comUnited StatesWebinar: AI Ethics0.64583333333333329CVegetarianAttendee</v>
      </c>
      <c r="J209" t="str">
        <f>IF(COUNTIF(EDA_Table[Temp ID],EDA_Table[[#This Row],[Temp ID]])&gt;1,"Duplicate","Unique")</f>
        <v>Duplicate</v>
      </c>
    </row>
    <row r="210" spans="1:10">
      <c r="A210" t="s">
        <v>177</v>
      </c>
      <c r="B210" t="s">
        <v>355</v>
      </c>
      <c r="C210" t="s">
        <v>112</v>
      </c>
      <c r="D210" t="s">
        <v>19</v>
      </c>
      <c r="E210" s="2">
        <v>0.10416666666666667</v>
      </c>
      <c r="F210" t="s">
        <v>354</v>
      </c>
      <c r="G210" t="s">
        <v>52</v>
      </c>
      <c r="H210" t="s">
        <v>39</v>
      </c>
      <c r="I21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Brownmorgan.brown471@example.comNigeria 0.10416666666666729CVeganAttendee</v>
      </c>
      <c r="J210" t="str">
        <f>IF(COUNTIF(EDA_Table[Temp ID],EDA_Table[[#This Row],[Temp ID]])&gt;1,"Duplicate","Unique")</f>
        <v>Duplicate</v>
      </c>
    </row>
    <row r="211" spans="1:10">
      <c r="A211" t="s">
        <v>119</v>
      </c>
      <c r="B211" t="s">
        <v>356</v>
      </c>
      <c r="C211" t="s">
        <v>55</v>
      </c>
      <c r="D211" t="s">
        <v>50</v>
      </c>
      <c r="E211" s="2">
        <v>0.64583333333333337</v>
      </c>
      <c r="F211" t="s">
        <v>354</v>
      </c>
      <c r="G211" t="s">
        <v>19</v>
      </c>
      <c r="H211" t="s">
        <v>39</v>
      </c>
      <c r="I21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Lewismorgan.lewis284@example.comBrazilWorkshop: Excel Mastery0.64583333333333329C Attendee</v>
      </c>
      <c r="J211" t="str">
        <f>IF(COUNTIF(EDA_Table[Temp ID],EDA_Table[[#This Row],[Temp ID]])&gt;1,"Duplicate","Unique")</f>
        <v>Duplicate</v>
      </c>
    </row>
    <row r="212" spans="1:10">
      <c r="A212" t="s">
        <v>255</v>
      </c>
      <c r="B212" t="s">
        <v>353</v>
      </c>
      <c r="C212" t="s">
        <v>12</v>
      </c>
      <c r="D212" t="s">
        <v>71</v>
      </c>
      <c r="E212" s="2">
        <v>0.64583333333333337</v>
      </c>
      <c r="F212" t="s">
        <v>354</v>
      </c>
      <c r="G212" t="s">
        <v>15</v>
      </c>
      <c r="H212" t="s">
        <v>39</v>
      </c>
      <c r="I21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Walkertaylor.walker106@example.comUnited StatesWebinar: AI Ethics0.64583333333333329CVegetarianAttendee</v>
      </c>
      <c r="J212" t="str">
        <f>IF(COUNTIF(EDA_Table[Temp ID],EDA_Table[[#This Row],[Temp ID]])&gt;1,"Duplicate","Unique")</f>
        <v>Duplicate</v>
      </c>
    </row>
    <row r="213" spans="1:10">
      <c r="A213" t="s">
        <v>119</v>
      </c>
      <c r="B213" t="s">
        <v>356</v>
      </c>
      <c r="C213" t="s">
        <v>55</v>
      </c>
      <c r="D213" t="s">
        <v>50</v>
      </c>
      <c r="E213" s="2">
        <v>0.64583333333333337</v>
      </c>
      <c r="F213" t="s">
        <v>354</v>
      </c>
      <c r="G213" t="s">
        <v>19</v>
      </c>
      <c r="H213" t="s">
        <v>39</v>
      </c>
      <c r="I21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Lewismorgan.lewis284@example.comBrazilWorkshop: Excel Mastery0.64583333333333329C Attendee</v>
      </c>
      <c r="J213" t="str">
        <f>IF(COUNTIF(EDA_Table[Temp ID],EDA_Table[[#This Row],[Temp ID]])&gt;1,"Duplicate","Unique")</f>
        <v>Duplicate</v>
      </c>
    </row>
    <row r="214" spans="1:10">
      <c r="A214" t="s">
        <v>177</v>
      </c>
      <c r="B214" t="s">
        <v>355</v>
      </c>
      <c r="C214" t="s">
        <v>112</v>
      </c>
      <c r="D214" t="s">
        <v>19</v>
      </c>
      <c r="E214" s="2">
        <v>0.10416666666666667</v>
      </c>
      <c r="F214" t="s">
        <v>354</v>
      </c>
      <c r="G214" t="s">
        <v>52</v>
      </c>
      <c r="H214" t="s">
        <v>39</v>
      </c>
      <c r="I21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Brownmorgan.brown471@example.comNigeria 0.10416666666666729CVeganAttendee</v>
      </c>
      <c r="J214" t="str">
        <f>IF(COUNTIF(EDA_Table[Temp ID],EDA_Table[[#This Row],[Temp ID]])&gt;1,"Duplicate","Unique")</f>
        <v>Duplicate</v>
      </c>
    </row>
    <row r="215" spans="1:10">
      <c r="A215" t="s">
        <v>239</v>
      </c>
      <c r="B215" t="s">
        <v>357</v>
      </c>
      <c r="D215" t="s">
        <v>13</v>
      </c>
      <c r="E215" s="2">
        <v>0</v>
      </c>
      <c r="F215" t="s">
        <v>358</v>
      </c>
      <c r="G215" t="s">
        <v>28</v>
      </c>
      <c r="H215" t="s">
        <v>39</v>
      </c>
      <c r="I21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Leetaylor.lee656@example.comTraining: Dashboard Design029DKosherAttendee</v>
      </c>
      <c r="J215" t="str">
        <f>IF(COUNTIF(EDA_Table[Temp ID],EDA_Table[[#This Row],[Temp ID]])&gt;1,"Duplicate","Unique")</f>
        <v>Unique</v>
      </c>
    </row>
    <row r="216" spans="1:10">
      <c r="A216" t="s">
        <v>322</v>
      </c>
      <c r="B216" t="s">
        <v>359</v>
      </c>
      <c r="C216" t="s">
        <v>12</v>
      </c>
      <c r="D216" t="s">
        <v>71</v>
      </c>
      <c r="E216" s="2">
        <v>0.89583333333333337</v>
      </c>
      <c r="F216" t="s">
        <v>360</v>
      </c>
      <c r="G216" t="s">
        <v>31</v>
      </c>
      <c r="H216" t="s">
        <v>39</v>
      </c>
      <c r="I21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Walkerdrew.walker383@example.comUnited StatesWebinar: AI Ethics0.8958333333333332ANoneAttendee</v>
      </c>
      <c r="J216" t="str">
        <f>IF(COUNTIF(EDA_Table[Temp ID],EDA_Table[[#This Row],[Temp ID]])&gt;1,"Duplicate","Unique")</f>
        <v>Unique</v>
      </c>
    </row>
    <row r="217" spans="1:10">
      <c r="A217" t="s">
        <v>346</v>
      </c>
      <c r="B217" t="s">
        <v>361</v>
      </c>
      <c r="C217" t="s">
        <v>101</v>
      </c>
      <c r="D217" t="s">
        <v>19</v>
      </c>
      <c r="E217" s="1">
        <v>0.125</v>
      </c>
      <c r="F217" t="s">
        <v>362</v>
      </c>
      <c r="G217" t="s">
        <v>31</v>
      </c>
      <c r="H217" t="s">
        <v>39</v>
      </c>
      <c r="I21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Wilsonriley.wilson751@example.comJapan 0.1252BNoneAttendee</v>
      </c>
      <c r="J217" t="str">
        <f>IF(COUNTIF(EDA_Table[Temp ID],EDA_Table[[#This Row],[Temp ID]])&gt;1,"Duplicate","Unique")</f>
        <v>Unique</v>
      </c>
    </row>
    <row r="218" spans="1:10">
      <c r="A218" t="s">
        <v>135</v>
      </c>
      <c r="B218" t="s">
        <v>363</v>
      </c>
      <c r="C218" t="s">
        <v>78</v>
      </c>
      <c r="D218" t="s">
        <v>45</v>
      </c>
      <c r="E218" s="1">
        <v>0.66666666666666663</v>
      </c>
      <c r="F218" t="s">
        <v>362</v>
      </c>
      <c r="G218" t="s">
        <v>52</v>
      </c>
      <c r="H218" t="s">
        <v>39</v>
      </c>
      <c r="I21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Leemorgan.lee971@example.comAustraliaKeynote: Future of Data0.6666666666666672BVeganAttendee</v>
      </c>
      <c r="J218" t="str">
        <f>IF(COUNTIF(EDA_Table[Temp ID],EDA_Table[[#This Row],[Temp ID]])&gt;1,"Duplicate","Unique")</f>
        <v>Duplicate</v>
      </c>
    </row>
    <row r="219" spans="1:10">
      <c r="A219" t="s">
        <v>35</v>
      </c>
      <c r="B219" t="s">
        <v>364</v>
      </c>
      <c r="C219" t="s">
        <v>78</v>
      </c>
      <c r="D219" t="s">
        <v>79</v>
      </c>
      <c r="E219" s="2">
        <v>0.29166666666666669</v>
      </c>
      <c r="F219" t="s">
        <v>362</v>
      </c>
      <c r="G219" t="s">
        <v>28</v>
      </c>
      <c r="H219" t="s">
        <v>39</v>
      </c>
      <c r="I21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Halltaylor.hall376@example.comAustraliaPanel: Women in Tech0.2916666666666672BKosherAttendee</v>
      </c>
      <c r="J219" t="str">
        <f>IF(COUNTIF(EDA_Table[Temp ID],EDA_Table[[#This Row],[Temp ID]])&gt;1,"Duplicate","Unique")</f>
        <v>Unique</v>
      </c>
    </row>
    <row r="220" spans="1:10">
      <c r="A220" t="s">
        <v>257</v>
      </c>
      <c r="B220" t="s">
        <v>365</v>
      </c>
      <c r="C220" t="s">
        <v>101</v>
      </c>
      <c r="D220" t="s">
        <v>13</v>
      </c>
      <c r="E220" s="1">
        <v>0.66666666666666663</v>
      </c>
      <c r="F220" t="s">
        <v>362</v>
      </c>
      <c r="G220" t="s">
        <v>31</v>
      </c>
      <c r="H220" t="s">
        <v>39</v>
      </c>
      <c r="I22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Walkerjamie.walker922@example.comJapanTraining: Dashboard Design0.6666666666666672BNoneAttendee</v>
      </c>
      <c r="J220" t="str">
        <f>IF(COUNTIF(EDA_Table[Temp ID],EDA_Table[[#This Row],[Temp ID]])&gt;1,"Duplicate","Unique")</f>
        <v>Duplicate</v>
      </c>
    </row>
    <row r="221" spans="1:10">
      <c r="A221" t="s">
        <v>257</v>
      </c>
      <c r="B221" t="s">
        <v>365</v>
      </c>
      <c r="C221" t="s">
        <v>101</v>
      </c>
      <c r="D221" t="s">
        <v>13</v>
      </c>
      <c r="E221" s="1">
        <v>0.66666666666666663</v>
      </c>
      <c r="F221" t="s">
        <v>362</v>
      </c>
      <c r="G221" t="s">
        <v>31</v>
      </c>
      <c r="H221" t="s">
        <v>39</v>
      </c>
      <c r="I22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Walkerjamie.walker922@example.comJapanTraining: Dashboard Design0.6666666666666672BNoneAttendee</v>
      </c>
      <c r="J221" t="str">
        <f>IF(COUNTIF(EDA_Table[Temp ID],EDA_Table[[#This Row],[Temp ID]])&gt;1,"Duplicate","Unique")</f>
        <v>Duplicate</v>
      </c>
    </row>
    <row r="222" spans="1:10">
      <c r="A222" t="s">
        <v>135</v>
      </c>
      <c r="B222" t="s">
        <v>363</v>
      </c>
      <c r="C222" t="s">
        <v>78</v>
      </c>
      <c r="D222" t="s">
        <v>45</v>
      </c>
      <c r="E222" s="1">
        <v>0.66666666666666663</v>
      </c>
      <c r="F222" t="s">
        <v>362</v>
      </c>
      <c r="G222" t="s">
        <v>52</v>
      </c>
      <c r="H222" t="s">
        <v>39</v>
      </c>
      <c r="I22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Leemorgan.lee971@example.comAustraliaKeynote: Future of Data0.6666666666666672BVeganAttendee</v>
      </c>
      <c r="J222" t="str">
        <f>IF(COUNTIF(EDA_Table[Temp ID],EDA_Table[[#This Row],[Temp ID]])&gt;1,"Duplicate","Unique")</f>
        <v>Duplicate</v>
      </c>
    </row>
    <row r="223" spans="1:10">
      <c r="A223" t="s">
        <v>366</v>
      </c>
      <c r="B223" t="s">
        <v>367</v>
      </c>
      <c r="E223" s="2">
        <v>0.25</v>
      </c>
      <c r="F223" t="s">
        <v>362</v>
      </c>
      <c r="G223" t="s">
        <v>15</v>
      </c>
      <c r="H223" t="s">
        <v>39</v>
      </c>
      <c r="I22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Johnsonjordan.johnson844@example.com0.252BVegetarianAttendee</v>
      </c>
      <c r="J223" t="str">
        <f>IF(COUNTIF(EDA_Table[Temp ID],EDA_Table[[#This Row],[Temp ID]])&gt;1,"Duplicate","Unique")</f>
        <v>Unique</v>
      </c>
    </row>
    <row r="224" spans="1:10">
      <c r="A224" t="s">
        <v>368</v>
      </c>
      <c r="B224" t="s">
        <v>369</v>
      </c>
      <c r="C224" t="s">
        <v>68</v>
      </c>
      <c r="D224" t="s">
        <v>45</v>
      </c>
      <c r="E224" s="2">
        <v>0.35416666666666669</v>
      </c>
      <c r="F224" t="s">
        <v>370</v>
      </c>
      <c r="G224" t="s">
        <v>19</v>
      </c>
      <c r="H224" t="s">
        <v>39</v>
      </c>
      <c r="I22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Clarkcasey.clark708@example.comIndiaKeynote: Future of Data0.3541666666666672C Attendee</v>
      </c>
      <c r="J224" t="str">
        <f>IF(COUNTIF(EDA_Table[Temp ID],EDA_Table[[#This Row],[Temp ID]])&gt;1,"Duplicate","Unique")</f>
        <v>Duplicate</v>
      </c>
    </row>
    <row r="225" spans="1:10">
      <c r="A225" t="s">
        <v>368</v>
      </c>
      <c r="B225" t="s">
        <v>369</v>
      </c>
      <c r="C225" t="s">
        <v>68</v>
      </c>
      <c r="D225" t="s">
        <v>45</v>
      </c>
      <c r="E225" s="2">
        <v>0.35416666666666669</v>
      </c>
      <c r="F225" t="s">
        <v>370</v>
      </c>
      <c r="G225" t="s">
        <v>19</v>
      </c>
      <c r="H225" t="s">
        <v>39</v>
      </c>
      <c r="I22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Clarkcasey.clark708@example.comIndiaKeynote: Future of Data0.3541666666666672C Attendee</v>
      </c>
      <c r="J225" t="str">
        <f>IF(COUNTIF(EDA_Table[Temp ID],EDA_Table[[#This Row],[Temp ID]])&gt;1,"Duplicate","Unique")</f>
        <v>Duplicate</v>
      </c>
    </row>
    <row r="226" spans="1:10">
      <c r="A226" t="s">
        <v>99</v>
      </c>
      <c r="B226" t="s">
        <v>371</v>
      </c>
      <c r="C226" t="s">
        <v>12</v>
      </c>
      <c r="D226" t="s">
        <v>71</v>
      </c>
      <c r="E226" s="2">
        <v>0.72916666666666663</v>
      </c>
      <c r="F226" t="s">
        <v>372</v>
      </c>
      <c r="G226" t="s">
        <v>19</v>
      </c>
      <c r="H226" t="s">
        <v>39</v>
      </c>
      <c r="I22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Lewisdrew.lewis13@example.comUnited StatesWebinar: AI Ethics0.7291666666666672D Attendee</v>
      </c>
      <c r="J226" t="str">
        <f>IF(COUNTIF(EDA_Table[Temp ID],EDA_Table[[#This Row],[Temp ID]])&gt;1,"Duplicate","Unique")</f>
        <v>Unique</v>
      </c>
    </row>
    <row r="227" spans="1:10">
      <c r="A227" t="s">
        <v>255</v>
      </c>
      <c r="B227" t="s">
        <v>373</v>
      </c>
      <c r="C227" t="s">
        <v>112</v>
      </c>
      <c r="E227" s="1">
        <v>0.125</v>
      </c>
      <c r="F227" t="s">
        <v>374</v>
      </c>
      <c r="G227" t="s">
        <v>91</v>
      </c>
      <c r="H227" t="s">
        <v>39</v>
      </c>
      <c r="I22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Walkertaylor.walker713@example.comNigeria0.12530AHalalAttendee</v>
      </c>
      <c r="J227" t="str">
        <f>IF(COUNTIF(EDA_Table[Temp ID],EDA_Table[[#This Row],[Temp ID]])&gt;1,"Duplicate","Unique")</f>
        <v>Duplicate</v>
      </c>
    </row>
    <row r="228" spans="1:10">
      <c r="A228" t="s">
        <v>17</v>
      </c>
      <c r="B228" t="s">
        <v>375</v>
      </c>
      <c r="C228" t="s">
        <v>96</v>
      </c>
      <c r="D228" t="s">
        <v>45</v>
      </c>
      <c r="E228" s="1">
        <v>0.22916666666666666</v>
      </c>
      <c r="F228" t="s">
        <v>374</v>
      </c>
      <c r="H228" t="s">
        <v>39</v>
      </c>
      <c r="I22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Allenriley.allen482@example.comUnited KingdomKeynote: Future of Data0.22916666666666730AAttendee</v>
      </c>
      <c r="J228" t="str">
        <f>IF(COUNTIF(EDA_Table[Temp ID],EDA_Table[[#This Row],[Temp ID]])&gt;1,"Duplicate","Unique")</f>
        <v>Duplicate</v>
      </c>
    </row>
    <row r="229" spans="1:10">
      <c r="A229" t="s">
        <v>255</v>
      </c>
      <c r="B229" t="s">
        <v>373</v>
      </c>
      <c r="C229" t="s">
        <v>112</v>
      </c>
      <c r="E229" s="1">
        <v>0.125</v>
      </c>
      <c r="F229" t="s">
        <v>374</v>
      </c>
      <c r="G229" t="s">
        <v>91</v>
      </c>
      <c r="H229" t="s">
        <v>39</v>
      </c>
      <c r="I22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Walkertaylor.walker713@example.comNigeria0.12530AHalalAttendee</v>
      </c>
      <c r="J229" t="str">
        <f>IF(COUNTIF(EDA_Table[Temp ID],EDA_Table[[#This Row],[Temp ID]])&gt;1,"Duplicate","Unique")</f>
        <v>Duplicate</v>
      </c>
    </row>
    <row r="230" spans="1:10">
      <c r="A230" t="s">
        <v>17</v>
      </c>
      <c r="B230" t="s">
        <v>375</v>
      </c>
      <c r="C230" t="s">
        <v>96</v>
      </c>
      <c r="D230" t="s">
        <v>45</v>
      </c>
      <c r="E230" s="1">
        <v>0.22916666666666666</v>
      </c>
      <c r="F230" t="s">
        <v>374</v>
      </c>
      <c r="H230" t="s">
        <v>39</v>
      </c>
      <c r="I23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Allenriley.allen482@example.comUnited KingdomKeynote: Future of Data0.22916666666666730AAttendee</v>
      </c>
      <c r="J230" t="str">
        <f>IF(COUNTIF(EDA_Table[Temp ID],EDA_Table[[#This Row],[Temp ID]])&gt;1,"Duplicate","Unique")</f>
        <v>Duplicate</v>
      </c>
    </row>
    <row r="231" spans="1:10">
      <c r="A231" t="s">
        <v>183</v>
      </c>
      <c r="B231" t="s">
        <v>376</v>
      </c>
      <c r="C231" t="s">
        <v>34</v>
      </c>
      <c r="D231" t="s">
        <v>45</v>
      </c>
      <c r="E231" s="2">
        <v>0.125</v>
      </c>
      <c r="F231" t="s">
        <v>374</v>
      </c>
      <c r="G231" t="s">
        <v>15</v>
      </c>
      <c r="H231" t="s">
        <v>39</v>
      </c>
      <c r="I23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Walkermorgan.walker829@example.comGermanyKeynote: Future of Data0.12530AVegetarianAttendee</v>
      </c>
      <c r="J231" t="str">
        <f>IF(COUNTIF(EDA_Table[Temp ID],EDA_Table[[#This Row],[Temp ID]])&gt;1,"Duplicate","Unique")</f>
        <v>Unique</v>
      </c>
    </row>
    <row r="232" spans="1:10">
      <c r="A232" t="s">
        <v>190</v>
      </c>
      <c r="B232" t="s">
        <v>377</v>
      </c>
      <c r="C232" t="s">
        <v>37</v>
      </c>
      <c r="E232" s="1">
        <v>0.64583333333333337</v>
      </c>
      <c r="F232" t="s">
        <v>378</v>
      </c>
      <c r="G232" t="s">
        <v>91</v>
      </c>
      <c r="H232" t="s">
        <v>39</v>
      </c>
      <c r="I23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Johnsoncasey.johnson465@example.comCanada0.64583333333333330BHalalAttendee</v>
      </c>
      <c r="J232" t="str">
        <f>IF(COUNTIF(EDA_Table[Temp ID],EDA_Table[[#This Row],[Temp ID]])&gt;1,"Duplicate","Unique")</f>
        <v>Unique</v>
      </c>
    </row>
    <row r="233" spans="1:10">
      <c r="A233" t="s">
        <v>250</v>
      </c>
      <c r="B233" t="s">
        <v>379</v>
      </c>
      <c r="C233" t="s">
        <v>68</v>
      </c>
      <c r="D233" t="s">
        <v>79</v>
      </c>
      <c r="E233" s="2">
        <v>0.95833333333333337</v>
      </c>
      <c r="F233" t="s">
        <v>380</v>
      </c>
      <c r="G233" t="s">
        <v>31</v>
      </c>
      <c r="H233" t="s">
        <v>39</v>
      </c>
      <c r="I23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Smithriley.smith378@example.comIndiaPanel: Women in Tech0.95833333333333330CNoneAttendee</v>
      </c>
      <c r="J233" t="str">
        <f>IF(COUNTIF(EDA_Table[Temp ID],EDA_Table[[#This Row],[Temp ID]])&gt;1,"Duplicate","Unique")</f>
        <v>Duplicate</v>
      </c>
    </row>
    <row r="234" spans="1:10">
      <c r="A234" t="s">
        <v>381</v>
      </c>
      <c r="B234" t="s">
        <v>382</v>
      </c>
      <c r="C234" t="s">
        <v>68</v>
      </c>
      <c r="D234" t="s">
        <v>71</v>
      </c>
      <c r="E234" s="2">
        <v>0.39583333333333331</v>
      </c>
      <c r="F234" t="s">
        <v>380</v>
      </c>
      <c r="G234" t="s">
        <v>91</v>
      </c>
      <c r="H234" t="s">
        <v>39</v>
      </c>
      <c r="I23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Jesse Wilsonjesse.wilson407@example.comIndiaWebinar: AI Ethics0.39583333333333330CHalalAttendee</v>
      </c>
      <c r="J234" t="str">
        <f>IF(COUNTIF(EDA_Table[Temp ID],EDA_Table[[#This Row],[Temp ID]])&gt;1,"Duplicate","Unique")</f>
        <v>Unique</v>
      </c>
    </row>
    <row r="235" spans="1:10">
      <c r="A235" t="s">
        <v>59</v>
      </c>
      <c r="B235" t="s">
        <v>383</v>
      </c>
      <c r="C235" t="s">
        <v>112</v>
      </c>
      <c r="D235" t="s">
        <v>50</v>
      </c>
      <c r="E235" s="1">
        <v>0.72916666666666663</v>
      </c>
      <c r="F235" t="s">
        <v>380</v>
      </c>
      <c r="G235" t="s">
        <v>91</v>
      </c>
      <c r="H235" t="s">
        <v>39</v>
      </c>
      <c r="I23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Leecasey.lee888@example.comNigeriaWorkshop: Excel Mastery0.72916666666666730CHalalAttendee</v>
      </c>
      <c r="J235" t="str">
        <f>IF(COUNTIF(EDA_Table[Temp ID],EDA_Table[[#This Row],[Temp ID]])&gt;1,"Duplicate","Unique")</f>
        <v>Duplicate</v>
      </c>
    </row>
    <row r="236" spans="1:10">
      <c r="A236" t="s">
        <v>307</v>
      </c>
      <c r="B236" t="s">
        <v>384</v>
      </c>
      <c r="C236" t="s">
        <v>78</v>
      </c>
      <c r="D236" t="s">
        <v>45</v>
      </c>
      <c r="E236" s="2">
        <v>0.70833333333333337</v>
      </c>
      <c r="F236" t="s">
        <v>380</v>
      </c>
      <c r="H236" t="s">
        <v>39</v>
      </c>
      <c r="I23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Clarkdrew.clark93@example.comAustraliaKeynote: Future of Data0.70833333333333330CAttendee</v>
      </c>
      <c r="J236" t="str">
        <f>IF(COUNTIF(EDA_Table[Temp ID],EDA_Table[[#This Row],[Temp ID]])&gt;1,"Duplicate","Unique")</f>
        <v>Unique</v>
      </c>
    </row>
    <row r="237" spans="1:10">
      <c r="A237" t="s">
        <v>88</v>
      </c>
      <c r="B237" t="s">
        <v>385</v>
      </c>
      <c r="C237" t="s">
        <v>12</v>
      </c>
      <c r="D237" t="s">
        <v>19</v>
      </c>
      <c r="E237" s="2">
        <v>0.29166666666666669</v>
      </c>
      <c r="F237" t="s">
        <v>380</v>
      </c>
      <c r="G237" t="s">
        <v>91</v>
      </c>
      <c r="H237" t="s">
        <v>39</v>
      </c>
      <c r="I23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Lewisjordan.lewis894@example.comUnited States 0.29166666666666730CHalalAttendee</v>
      </c>
      <c r="J237" t="str">
        <f>IF(COUNTIF(EDA_Table[Temp ID],EDA_Table[[#This Row],[Temp ID]])&gt;1,"Duplicate","Unique")</f>
        <v>Unique</v>
      </c>
    </row>
    <row r="238" spans="1:10">
      <c r="A238" t="s">
        <v>59</v>
      </c>
      <c r="B238" t="s">
        <v>383</v>
      </c>
      <c r="C238" t="s">
        <v>112</v>
      </c>
      <c r="D238" t="s">
        <v>50</v>
      </c>
      <c r="E238" s="1">
        <v>0.72916666666666663</v>
      </c>
      <c r="F238" t="s">
        <v>380</v>
      </c>
      <c r="G238" t="s">
        <v>91</v>
      </c>
      <c r="H238" t="s">
        <v>39</v>
      </c>
      <c r="I23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Leecasey.lee888@example.comNigeriaWorkshop: Excel Mastery0.72916666666666730CHalalAttendee</v>
      </c>
      <c r="J238" t="str">
        <f>IF(COUNTIF(EDA_Table[Temp ID],EDA_Table[[#This Row],[Temp ID]])&gt;1,"Duplicate","Unique")</f>
        <v>Duplicate</v>
      </c>
    </row>
    <row r="239" spans="1:10">
      <c r="A239" t="s">
        <v>250</v>
      </c>
      <c r="B239" t="s">
        <v>379</v>
      </c>
      <c r="C239" t="s">
        <v>68</v>
      </c>
      <c r="D239" t="s">
        <v>79</v>
      </c>
      <c r="E239" s="2">
        <v>0.95833333333333337</v>
      </c>
      <c r="F239" t="s">
        <v>380</v>
      </c>
      <c r="G239" t="s">
        <v>31</v>
      </c>
      <c r="H239" t="s">
        <v>39</v>
      </c>
      <c r="I23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Smithriley.smith378@example.comIndiaPanel: Women in Tech0.95833333333333330CNoneAttendee</v>
      </c>
      <c r="J239" t="str">
        <f>IF(COUNTIF(EDA_Table[Temp ID],EDA_Table[[#This Row],[Temp ID]])&gt;1,"Duplicate","Unique")</f>
        <v>Duplicate</v>
      </c>
    </row>
    <row r="240" spans="1:10">
      <c r="A240" t="s">
        <v>386</v>
      </c>
      <c r="B240" t="s">
        <v>387</v>
      </c>
      <c r="C240" t="s">
        <v>96</v>
      </c>
      <c r="D240" t="s">
        <v>50</v>
      </c>
      <c r="E240" s="2">
        <v>0.77083333333333337</v>
      </c>
      <c r="F240" t="s">
        <v>388</v>
      </c>
      <c r="G240" t="s">
        <v>28</v>
      </c>
      <c r="H240" t="s">
        <v>39</v>
      </c>
      <c r="I24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Smithdrew.smith312@example.comUnited KingdomWorkshop: Excel Mastery0.77083333333333330DKosherAttendee</v>
      </c>
      <c r="J240" t="str">
        <f>IF(COUNTIF(EDA_Table[Temp ID],EDA_Table[[#This Row],[Temp ID]])&gt;1,"Duplicate","Unique")</f>
        <v>Unique</v>
      </c>
    </row>
    <row r="241" spans="1:10">
      <c r="A241" t="s">
        <v>389</v>
      </c>
      <c r="B241" t="s">
        <v>390</v>
      </c>
      <c r="D241" t="s">
        <v>71</v>
      </c>
      <c r="E241" s="2">
        <v>0.52083333333333337</v>
      </c>
      <c r="F241" t="s">
        <v>388</v>
      </c>
      <c r="G241" t="s">
        <v>52</v>
      </c>
      <c r="H241" t="s">
        <v>39</v>
      </c>
      <c r="I24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Johnsontaylor.johnson640@example.comWebinar: AI Ethics0.52083333333333330DVeganAttendee</v>
      </c>
      <c r="J241" t="str">
        <f>IF(COUNTIF(EDA_Table[Temp ID],EDA_Table[[#This Row],[Temp ID]])&gt;1,"Duplicate","Unique")</f>
        <v>Unique</v>
      </c>
    </row>
    <row r="242" spans="1:10">
      <c r="A242" t="s">
        <v>307</v>
      </c>
      <c r="B242" t="s">
        <v>391</v>
      </c>
      <c r="D242" t="s">
        <v>71</v>
      </c>
      <c r="E242" s="2">
        <v>0.375</v>
      </c>
      <c r="F242" t="s">
        <v>392</v>
      </c>
      <c r="G242" t="s">
        <v>91</v>
      </c>
      <c r="H242" t="s">
        <v>39</v>
      </c>
      <c r="I24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Clarkdrew.clark575@example.comWebinar: AI Ethics0.37531AHalalAttendee</v>
      </c>
      <c r="J242" t="str">
        <f>IF(COUNTIF(EDA_Table[Temp ID],EDA_Table[[#This Row],[Temp ID]])&gt;1,"Duplicate","Unique")</f>
        <v>Unique</v>
      </c>
    </row>
    <row r="243" spans="1:10">
      <c r="A243" t="s">
        <v>393</v>
      </c>
      <c r="B243" t="s">
        <v>394</v>
      </c>
      <c r="C243" t="s">
        <v>101</v>
      </c>
      <c r="D243" t="s">
        <v>71</v>
      </c>
      <c r="E243" s="2">
        <v>0.9375</v>
      </c>
      <c r="F243" t="s">
        <v>392</v>
      </c>
      <c r="G243" t="s">
        <v>91</v>
      </c>
      <c r="H243" t="s">
        <v>39</v>
      </c>
      <c r="I24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Halljamie.hall849@example.comJapanWebinar: AI Ethics0.937531AHalalAttendee</v>
      </c>
      <c r="J243" t="str">
        <f>IF(COUNTIF(EDA_Table[Temp ID],EDA_Table[[#This Row],[Temp ID]])&gt;1,"Duplicate","Unique")</f>
        <v>Unique</v>
      </c>
    </row>
    <row r="244" spans="1:10">
      <c r="A244" t="s">
        <v>164</v>
      </c>
      <c r="B244" t="s">
        <v>395</v>
      </c>
      <c r="D244" t="s">
        <v>50</v>
      </c>
      <c r="E244" s="1">
        <v>0.60416666666666663</v>
      </c>
      <c r="F244" t="s">
        <v>392</v>
      </c>
      <c r="H244" t="s">
        <v>39</v>
      </c>
      <c r="I24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Hallalex.hall232@example.comWorkshop: Excel Mastery0.60416666666666731AAttendee</v>
      </c>
      <c r="J244" t="str">
        <f>IF(COUNTIF(EDA_Table[Temp ID],EDA_Table[[#This Row],[Temp ID]])&gt;1,"Duplicate","Unique")</f>
        <v>Unique</v>
      </c>
    </row>
    <row r="245" spans="1:10">
      <c r="A245" t="s">
        <v>396</v>
      </c>
      <c r="B245" t="s">
        <v>397</v>
      </c>
      <c r="C245" t="s">
        <v>34</v>
      </c>
      <c r="D245" t="s">
        <v>13</v>
      </c>
      <c r="E245" s="2">
        <v>0.5625</v>
      </c>
      <c r="F245" t="s">
        <v>392</v>
      </c>
      <c r="G245" t="s">
        <v>91</v>
      </c>
      <c r="H245" t="s">
        <v>39</v>
      </c>
      <c r="I24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Leeriley.lee65@example.comGermanyTraining: Dashboard Design0.562531AHalalAttendee</v>
      </c>
      <c r="J245" t="str">
        <f>IF(COUNTIF(EDA_Table[Temp ID],EDA_Table[[#This Row],[Temp ID]])&gt;1,"Duplicate","Unique")</f>
        <v>Unique</v>
      </c>
    </row>
    <row r="246" spans="1:10">
      <c r="A246" t="s">
        <v>10</v>
      </c>
      <c r="B246" t="s">
        <v>398</v>
      </c>
      <c r="C246" t="s">
        <v>12</v>
      </c>
      <c r="D246" t="s">
        <v>50</v>
      </c>
      <c r="E246" s="1">
        <v>0.54166666666666663</v>
      </c>
      <c r="F246" t="s">
        <v>392</v>
      </c>
      <c r="G246" t="s">
        <v>31</v>
      </c>
      <c r="H246" t="s">
        <v>39</v>
      </c>
      <c r="I24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Smithjordan.smith773@example.comUnited StatesWorkshop: Excel Mastery0.54166666666666731ANoneAttendee</v>
      </c>
      <c r="J246" t="str">
        <f>IF(COUNTIF(EDA_Table[Temp ID],EDA_Table[[#This Row],[Temp ID]])&gt;1,"Duplicate","Unique")</f>
        <v>Unique</v>
      </c>
    </row>
    <row r="247" spans="1:10">
      <c r="A247" t="s">
        <v>330</v>
      </c>
      <c r="B247" t="s">
        <v>399</v>
      </c>
      <c r="D247" t="s">
        <v>71</v>
      </c>
      <c r="E247" s="2">
        <v>0.85416666666666663</v>
      </c>
      <c r="F247" t="s">
        <v>400</v>
      </c>
      <c r="G247" t="s">
        <v>19</v>
      </c>
      <c r="H247" t="s">
        <v>39</v>
      </c>
      <c r="I24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Walkeralex.walker911@example.comWebinar: AI Ethics0.85416666666666731B Attendee</v>
      </c>
      <c r="J247" t="str">
        <f>IF(COUNTIF(EDA_Table[Temp ID],EDA_Table[[#This Row],[Temp ID]])&gt;1,"Duplicate","Unique")</f>
        <v>Duplicate</v>
      </c>
    </row>
    <row r="248" spans="1:10">
      <c r="A248" t="s">
        <v>330</v>
      </c>
      <c r="B248" t="s">
        <v>399</v>
      </c>
      <c r="D248" t="s">
        <v>71</v>
      </c>
      <c r="E248" s="2">
        <v>0.85416666666666663</v>
      </c>
      <c r="F248" t="s">
        <v>400</v>
      </c>
      <c r="G248" t="s">
        <v>19</v>
      </c>
      <c r="H248" t="s">
        <v>39</v>
      </c>
      <c r="I24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Walkeralex.walker911@example.comWebinar: AI Ethics0.85416666666666731B Attendee</v>
      </c>
      <c r="J248" t="str">
        <f>IF(COUNTIF(EDA_Table[Temp ID],EDA_Table[[#This Row],[Temp ID]])&gt;1,"Duplicate","Unique")</f>
        <v>Duplicate</v>
      </c>
    </row>
    <row r="249" spans="1:10">
      <c r="A249" t="s">
        <v>73</v>
      </c>
      <c r="B249" t="s">
        <v>401</v>
      </c>
      <c r="C249" t="s">
        <v>101</v>
      </c>
      <c r="D249" t="s">
        <v>50</v>
      </c>
      <c r="E249" s="2">
        <v>0.85416666666666663</v>
      </c>
      <c r="F249" t="s">
        <v>400</v>
      </c>
      <c r="G249" t="s">
        <v>19</v>
      </c>
      <c r="H249" t="s">
        <v>39</v>
      </c>
      <c r="I24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Smithtaylor.smith988@example.comJapanWorkshop: Excel Mastery0.85416666666666731B Attendee</v>
      </c>
      <c r="J249" t="str">
        <f>IF(COUNTIF(EDA_Table[Temp ID],EDA_Table[[#This Row],[Temp ID]])&gt;1,"Duplicate","Unique")</f>
        <v>Unique</v>
      </c>
    </row>
    <row r="250" spans="1:10">
      <c r="A250" t="s">
        <v>211</v>
      </c>
      <c r="B250" t="s">
        <v>402</v>
      </c>
      <c r="C250" t="s">
        <v>112</v>
      </c>
      <c r="D250" t="s">
        <v>50</v>
      </c>
      <c r="E250" s="1">
        <v>0.52083333333333337</v>
      </c>
      <c r="F250" t="s">
        <v>403</v>
      </c>
      <c r="G250" t="s">
        <v>15</v>
      </c>
      <c r="H250" t="s">
        <v>39</v>
      </c>
      <c r="I25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Johnsonmorgan.johnson686@example.comNigeriaWorkshop: Excel Mastery0.52083333333333331DVegetarianAttendee</v>
      </c>
      <c r="J250" t="str">
        <f>IF(COUNTIF(EDA_Table[Temp ID],EDA_Table[[#This Row],[Temp ID]])&gt;1,"Duplicate","Unique")</f>
        <v>Duplicate</v>
      </c>
    </row>
    <row r="251" spans="1:10">
      <c r="A251" t="s">
        <v>211</v>
      </c>
      <c r="B251" t="s">
        <v>402</v>
      </c>
      <c r="C251" t="s">
        <v>112</v>
      </c>
      <c r="D251" t="s">
        <v>50</v>
      </c>
      <c r="E251" s="1">
        <v>0.52083333333333337</v>
      </c>
      <c r="F251" t="s">
        <v>403</v>
      </c>
      <c r="G251" t="s">
        <v>15</v>
      </c>
      <c r="H251" t="s">
        <v>39</v>
      </c>
      <c r="I25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Johnsonmorgan.johnson686@example.comNigeriaWorkshop: Excel Mastery0.52083333333333331DVegetarianAttendee</v>
      </c>
      <c r="J251" t="str">
        <f>IF(COUNTIF(EDA_Table[Temp ID],EDA_Table[[#This Row],[Temp ID]])&gt;1,"Duplicate","Unique")</f>
        <v>Duplicate</v>
      </c>
    </row>
    <row r="252" spans="1:10">
      <c r="A252" t="s">
        <v>127</v>
      </c>
      <c r="B252" t="s">
        <v>404</v>
      </c>
      <c r="C252" t="s">
        <v>19</v>
      </c>
      <c r="E252" s="1">
        <v>0.83333333333333337</v>
      </c>
      <c r="F252" t="s">
        <v>405</v>
      </c>
      <c r="G252" t="s">
        <v>28</v>
      </c>
      <c r="H252" t="s">
        <v>39</v>
      </c>
      <c r="I25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Lewiscasey.lewis552@example.com 0.83333333333333332AKosherAttendee</v>
      </c>
      <c r="J252" t="str">
        <f>IF(COUNTIF(EDA_Table[Temp ID],EDA_Table[[#This Row],[Temp ID]])&gt;1,"Duplicate","Unique")</f>
        <v>Unique</v>
      </c>
    </row>
    <row r="253" spans="1:10">
      <c r="A253" t="s">
        <v>121</v>
      </c>
      <c r="B253" t="s">
        <v>406</v>
      </c>
      <c r="C253" t="s">
        <v>55</v>
      </c>
      <c r="D253" t="s">
        <v>71</v>
      </c>
      <c r="E253" s="1">
        <v>0.95833333333333337</v>
      </c>
      <c r="F253" t="s">
        <v>405</v>
      </c>
      <c r="G253" t="s">
        <v>28</v>
      </c>
      <c r="H253" t="s">
        <v>39</v>
      </c>
      <c r="I25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Jesse Lewisjesse.lewis798@example.comBrazilWebinar: AI Ethics0.95833333333333332AKosherAttendee</v>
      </c>
      <c r="J253" t="str">
        <f>IF(COUNTIF(EDA_Table[Temp ID],EDA_Table[[#This Row],[Temp ID]])&gt;1,"Duplicate","Unique")</f>
        <v>Unique</v>
      </c>
    </row>
    <row r="254" spans="1:10">
      <c r="A254" t="s">
        <v>205</v>
      </c>
      <c r="B254" t="s">
        <v>407</v>
      </c>
      <c r="C254" t="s">
        <v>101</v>
      </c>
      <c r="D254" t="s">
        <v>19</v>
      </c>
      <c r="E254" s="2">
        <v>0.6875</v>
      </c>
      <c r="F254" t="s">
        <v>405</v>
      </c>
      <c r="G254" t="s">
        <v>91</v>
      </c>
      <c r="H254" t="s">
        <v>39</v>
      </c>
      <c r="I25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Johnsondrew.johnson26@example.comJapan 0.687532AHalalAttendee</v>
      </c>
      <c r="J254" t="str">
        <f>IF(COUNTIF(EDA_Table[Temp ID],EDA_Table[[#This Row],[Temp ID]])&gt;1,"Duplicate","Unique")</f>
        <v>Duplicate</v>
      </c>
    </row>
    <row r="255" spans="1:10">
      <c r="A255" t="s">
        <v>205</v>
      </c>
      <c r="B255" t="s">
        <v>407</v>
      </c>
      <c r="C255" t="s">
        <v>101</v>
      </c>
      <c r="D255" t="s">
        <v>19</v>
      </c>
      <c r="E255" s="2">
        <v>0.6875</v>
      </c>
      <c r="F255" t="s">
        <v>405</v>
      </c>
      <c r="G255" t="s">
        <v>91</v>
      </c>
      <c r="H255" t="s">
        <v>39</v>
      </c>
      <c r="I25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Johnsondrew.johnson26@example.comJapan 0.687532AHalalAttendee</v>
      </c>
      <c r="J255" t="str">
        <f>IF(COUNTIF(EDA_Table[Temp ID],EDA_Table[[#This Row],[Temp ID]])&gt;1,"Duplicate","Unique")</f>
        <v>Duplicate</v>
      </c>
    </row>
    <row r="256" spans="1:10">
      <c r="A256" t="s">
        <v>265</v>
      </c>
      <c r="B256" t="s">
        <v>408</v>
      </c>
      <c r="D256" t="s">
        <v>19</v>
      </c>
      <c r="E256" s="2">
        <v>8.3333333333333329E-2</v>
      </c>
      <c r="F256" t="s">
        <v>405</v>
      </c>
      <c r="H256" t="s">
        <v>39</v>
      </c>
      <c r="I25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Wilsonalex.wilson430@example.com 0.083333333333333332AAttendee</v>
      </c>
      <c r="J256" t="str">
        <f>IF(COUNTIF(EDA_Table[Temp ID],EDA_Table[[#This Row],[Temp ID]])&gt;1,"Duplicate","Unique")</f>
        <v>Unique</v>
      </c>
    </row>
    <row r="257" spans="1:10">
      <c r="A257" t="s">
        <v>127</v>
      </c>
      <c r="B257" t="s">
        <v>409</v>
      </c>
      <c r="C257" t="s">
        <v>34</v>
      </c>
      <c r="D257" t="s">
        <v>71</v>
      </c>
      <c r="E257" s="2">
        <v>0.54166666666666663</v>
      </c>
      <c r="F257" t="s">
        <v>410</v>
      </c>
      <c r="G257" t="s">
        <v>31</v>
      </c>
      <c r="H257" t="s">
        <v>39</v>
      </c>
      <c r="I25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Lewiscasey.lewis611@example.comGermanyWebinar: AI Ethics0.54166666666666732BNoneAttendee</v>
      </c>
      <c r="J257" t="str">
        <f>IF(COUNTIF(EDA_Table[Temp ID],EDA_Table[[#This Row],[Temp ID]])&gt;1,"Duplicate","Unique")</f>
        <v>Unique</v>
      </c>
    </row>
    <row r="258" spans="1:10">
      <c r="A258" t="s">
        <v>114</v>
      </c>
      <c r="B258" t="s">
        <v>411</v>
      </c>
      <c r="C258" t="s">
        <v>101</v>
      </c>
      <c r="D258" t="s">
        <v>19</v>
      </c>
      <c r="E258" s="1">
        <v>0.8125</v>
      </c>
      <c r="F258" t="s">
        <v>412</v>
      </c>
      <c r="G258" t="s">
        <v>31</v>
      </c>
      <c r="H258" t="s">
        <v>39</v>
      </c>
      <c r="I25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Wilsondrew.wilson646@example.comJapan 0.812532CNoneAttendee</v>
      </c>
      <c r="J258" t="str">
        <f>IF(COUNTIF(EDA_Table[Temp ID],EDA_Table[[#This Row],[Temp ID]])&gt;1,"Duplicate","Unique")</f>
        <v>Unique</v>
      </c>
    </row>
    <row r="259" spans="1:10">
      <c r="A259" t="s">
        <v>46</v>
      </c>
      <c r="B259" t="s">
        <v>413</v>
      </c>
      <c r="C259" t="s">
        <v>27</v>
      </c>
      <c r="D259" t="s">
        <v>71</v>
      </c>
      <c r="E259" s="1">
        <v>0.41666666666666669</v>
      </c>
      <c r="F259" t="s">
        <v>412</v>
      </c>
      <c r="G259" t="s">
        <v>15</v>
      </c>
      <c r="H259" t="s">
        <v>39</v>
      </c>
      <c r="I25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Clarkalex.clark971@example.comFranceWebinar: AI Ethics0.41666666666666732CVegetarianAttendee</v>
      </c>
      <c r="J259" t="str">
        <f>IF(COUNTIF(EDA_Table[Temp ID],EDA_Table[[#This Row],[Temp ID]])&gt;1,"Duplicate","Unique")</f>
        <v>Unique</v>
      </c>
    </row>
    <row r="260" spans="1:10">
      <c r="A260" t="s">
        <v>117</v>
      </c>
      <c r="B260" t="s">
        <v>414</v>
      </c>
      <c r="C260" t="s">
        <v>68</v>
      </c>
      <c r="D260" t="s">
        <v>13</v>
      </c>
      <c r="E260" s="1">
        <v>0.85416666666666663</v>
      </c>
      <c r="F260" t="s">
        <v>415</v>
      </c>
      <c r="G260" t="s">
        <v>28</v>
      </c>
      <c r="H260" t="s">
        <v>39</v>
      </c>
      <c r="I26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Wilsontaylor.wilson338@example.comIndiaTraining: Dashboard Design0.85416666666666732DKosherAttendee</v>
      </c>
      <c r="J260" t="str">
        <f>IF(COUNTIF(EDA_Table[Temp ID],EDA_Table[[#This Row],[Temp ID]])&gt;1,"Duplicate","Unique")</f>
        <v>Unique</v>
      </c>
    </row>
    <row r="261" spans="1:10">
      <c r="A261" t="s">
        <v>416</v>
      </c>
      <c r="B261" t="s">
        <v>417</v>
      </c>
      <c r="C261" t="s">
        <v>68</v>
      </c>
      <c r="D261" t="s">
        <v>71</v>
      </c>
      <c r="E261" s="2">
        <v>0.47916666666666669</v>
      </c>
      <c r="F261" t="s">
        <v>415</v>
      </c>
      <c r="G261" t="s">
        <v>31</v>
      </c>
      <c r="H261" t="s">
        <v>39</v>
      </c>
      <c r="I26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Lewischris.lewis997@example.comIndiaWebinar: AI Ethics0.47916666666666732DNoneAttendee</v>
      </c>
      <c r="J261" t="str">
        <f>IF(COUNTIF(EDA_Table[Temp ID],EDA_Table[[#This Row],[Temp ID]])&gt;1,"Duplicate","Unique")</f>
        <v>Unique</v>
      </c>
    </row>
    <row r="262" spans="1:10">
      <c r="A262" t="s">
        <v>46</v>
      </c>
      <c r="B262" t="s">
        <v>418</v>
      </c>
      <c r="C262" t="s">
        <v>96</v>
      </c>
      <c r="D262" t="s">
        <v>45</v>
      </c>
      <c r="E262" s="1">
        <v>0.9375</v>
      </c>
      <c r="F262" t="s">
        <v>415</v>
      </c>
      <c r="H262" t="s">
        <v>21</v>
      </c>
      <c r="I26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Clarkalex.clark411@example.comUnited KingdomKeynote: Future of Data0.937532DSpeaker</v>
      </c>
      <c r="J262" t="str">
        <f>IF(COUNTIF(EDA_Table[Temp ID],EDA_Table[[#This Row],[Temp ID]])&gt;1,"Duplicate","Unique")</f>
        <v>Unique</v>
      </c>
    </row>
    <row r="263" spans="1:10">
      <c r="A263" t="s">
        <v>419</v>
      </c>
      <c r="B263" t="s">
        <v>420</v>
      </c>
      <c r="C263" t="s">
        <v>19</v>
      </c>
      <c r="D263" t="s">
        <v>71</v>
      </c>
      <c r="E263" s="1">
        <v>0.5</v>
      </c>
      <c r="F263" t="s">
        <v>421</v>
      </c>
      <c r="G263" t="s">
        <v>91</v>
      </c>
      <c r="H263" t="s">
        <v>39</v>
      </c>
      <c r="I26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Allenalex.allen65@example.com Webinar: AI Ethics0.533AHalalAttendee</v>
      </c>
      <c r="J263" t="str">
        <f>IF(COUNTIF(EDA_Table[Temp ID],EDA_Table[[#This Row],[Temp ID]])&gt;1,"Duplicate","Unique")</f>
        <v>Unique</v>
      </c>
    </row>
    <row r="264" spans="1:10">
      <c r="A264" t="s">
        <v>81</v>
      </c>
      <c r="B264" t="s">
        <v>422</v>
      </c>
      <c r="C264" t="s">
        <v>19</v>
      </c>
      <c r="D264" t="s">
        <v>45</v>
      </c>
      <c r="E264" s="2">
        <v>0.60416666666666663</v>
      </c>
      <c r="F264" t="s">
        <v>421</v>
      </c>
      <c r="G264" t="s">
        <v>28</v>
      </c>
      <c r="H264" t="s">
        <v>39</v>
      </c>
      <c r="I26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Hallcasey.hall117@example.com Keynote: Future of Data0.60416666666666733AKosherAttendee</v>
      </c>
      <c r="J264" t="str">
        <f>IF(COUNTIF(EDA_Table[Temp ID],EDA_Table[[#This Row],[Temp ID]])&gt;1,"Duplicate","Unique")</f>
        <v>Unique</v>
      </c>
    </row>
    <row r="265" spans="1:10">
      <c r="A265" t="s">
        <v>133</v>
      </c>
      <c r="B265" t="s">
        <v>423</v>
      </c>
      <c r="C265" t="s">
        <v>112</v>
      </c>
      <c r="D265" t="s">
        <v>71</v>
      </c>
      <c r="E265" s="1">
        <v>0.29166666666666669</v>
      </c>
      <c r="F265" t="s">
        <v>424</v>
      </c>
      <c r="G265" t="s">
        <v>19</v>
      </c>
      <c r="H265" t="s">
        <v>39</v>
      </c>
      <c r="I26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Walkerriley.walker250@example.comNigeriaWebinar: AI Ethics0.29166666666666733B Attendee</v>
      </c>
      <c r="J265" t="str">
        <f>IF(COUNTIF(EDA_Table[Temp ID],EDA_Table[[#This Row],[Temp ID]])&gt;1,"Duplicate","Unique")</f>
        <v>Unique</v>
      </c>
    </row>
    <row r="266" spans="1:10">
      <c r="A266" t="s">
        <v>313</v>
      </c>
      <c r="B266" t="s">
        <v>425</v>
      </c>
      <c r="C266" t="s">
        <v>101</v>
      </c>
      <c r="D266" t="s">
        <v>71</v>
      </c>
      <c r="E266" s="1">
        <v>0.70833333333333337</v>
      </c>
      <c r="F266" t="s">
        <v>424</v>
      </c>
      <c r="G266" t="s">
        <v>19</v>
      </c>
      <c r="H266" t="s">
        <v>39</v>
      </c>
      <c r="I26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Browncasey.brown656@example.comJapanWebinar: AI Ethics0.70833333333333333B Attendee</v>
      </c>
      <c r="J266" t="str">
        <f>IF(COUNTIF(EDA_Table[Temp ID],EDA_Table[[#This Row],[Temp ID]])&gt;1,"Duplicate","Unique")</f>
        <v>Unique</v>
      </c>
    </row>
    <row r="267" spans="1:10">
      <c r="A267" t="s">
        <v>73</v>
      </c>
      <c r="B267" t="s">
        <v>426</v>
      </c>
      <c r="C267" t="s">
        <v>37</v>
      </c>
      <c r="D267" t="s">
        <v>19</v>
      </c>
      <c r="E267" s="2">
        <v>0.91666666666666663</v>
      </c>
      <c r="F267" t="s">
        <v>424</v>
      </c>
      <c r="G267" t="s">
        <v>52</v>
      </c>
      <c r="H267" t="s">
        <v>39</v>
      </c>
      <c r="I26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Smithtaylor.smith462@example.comCanada 0.91666666666666733BVeganAttendee</v>
      </c>
      <c r="J267" t="str">
        <f>IF(COUNTIF(EDA_Table[Temp ID],EDA_Table[[#This Row],[Temp ID]])&gt;1,"Duplicate","Unique")</f>
        <v>Unique</v>
      </c>
    </row>
    <row r="268" spans="1:10">
      <c r="A268" t="s">
        <v>10</v>
      </c>
      <c r="B268" t="s">
        <v>427</v>
      </c>
      <c r="C268" t="s">
        <v>78</v>
      </c>
      <c r="D268" t="s">
        <v>79</v>
      </c>
      <c r="E268" s="1">
        <v>0.70833333333333337</v>
      </c>
      <c r="F268" t="s">
        <v>428</v>
      </c>
      <c r="G268" t="s">
        <v>52</v>
      </c>
      <c r="H268" t="s">
        <v>39</v>
      </c>
      <c r="I26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Smithjordan.smith344@example.comAustraliaPanel: Women in Tech0.70833333333333333CVeganAttendee</v>
      </c>
      <c r="J268" t="str">
        <f>IF(COUNTIF(EDA_Table[Temp ID],EDA_Table[[#This Row],[Temp ID]])&gt;1,"Duplicate","Unique")</f>
        <v>Unique</v>
      </c>
    </row>
    <row r="269" spans="1:10">
      <c r="A269" t="s">
        <v>69</v>
      </c>
      <c r="B269" t="s">
        <v>429</v>
      </c>
      <c r="C269" t="s">
        <v>27</v>
      </c>
      <c r="D269" t="s">
        <v>13</v>
      </c>
      <c r="E269" s="2">
        <v>0.39583333333333331</v>
      </c>
      <c r="F269" t="s">
        <v>430</v>
      </c>
      <c r="G269" t="s">
        <v>15</v>
      </c>
      <c r="H269" t="s">
        <v>39</v>
      </c>
      <c r="I26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Clarkmorgan.clark695@example.comFranceTraining: Dashboard Design0.39583333333333333DVegetarianAttendee</v>
      </c>
      <c r="J269" t="str">
        <f>IF(COUNTIF(EDA_Table[Temp ID],EDA_Table[[#This Row],[Temp ID]])&gt;1,"Duplicate","Unique")</f>
        <v>Duplicate</v>
      </c>
    </row>
    <row r="270" spans="1:10">
      <c r="A270" t="s">
        <v>69</v>
      </c>
      <c r="B270" t="s">
        <v>429</v>
      </c>
      <c r="C270" t="s">
        <v>27</v>
      </c>
      <c r="D270" t="s">
        <v>13</v>
      </c>
      <c r="E270" s="2">
        <v>0.39583333333333331</v>
      </c>
      <c r="F270" t="s">
        <v>430</v>
      </c>
      <c r="G270" t="s">
        <v>15</v>
      </c>
      <c r="H270" t="s">
        <v>39</v>
      </c>
      <c r="I27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Clarkmorgan.clark695@example.comFranceTraining: Dashboard Design0.39583333333333333DVegetarianAttendee</v>
      </c>
      <c r="J270" t="str">
        <f>IF(COUNTIF(EDA_Table[Temp ID],EDA_Table[[#This Row],[Temp ID]])&gt;1,"Duplicate","Unique")</f>
        <v>Duplicate</v>
      </c>
    </row>
    <row r="271" spans="1:10">
      <c r="A271" t="s">
        <v>32</v>
      </c>
      <c r="B271" t="s">
        <v>431</v>
      </c>
      <c r="C271" t="s">
        <v>34</v>
      </c>
      <c r="E271" s="2">
        <v>0.20833333333333334</v>
      </c>
      <c r="F271" t="s">
        <v>432</v>
      </c>
      <c r="G271" t="s">
        <v>19</v>
      </c>
      <c r="H271" t="s">
        <v>39</v>
      </c>
      <c r="I27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Clarktaylor.clark174@example.comGermany0.20833333333333334A Attendee</v>
      </c>
      <c r="J271" t="str">
        <f>IF(COUNTIF(EDA_Table[Temp ID],EDA_Table[[#This Row],[Temp ID]])&gt;1,"Duplicate","Unique")</f>
        <v>Unique</v>
      </c>
    </row>
    <row r="272" spans="1:10">
      <c r="A272" t="s">
        <v>121</v>
      </c>
      <c r="B272" t="s">
        <v>433</v>
      </c>
      <c r="E272" s="1">
        <v>0.89583333333333337</v>
      </c>
      <c r="F272" t="s">
        <v>432</v>
      </c>
      <c r="G272" t="s">
        <v>28</v>
      </c>
      <c r="H272" t="s">
        <v>39</v>
      </c>
      <c r="I27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Jesse Lewisjesse.lewis192@example.com0.89583333333333334AKosherAttendee</v>
      </c>
      <c r="J272" t="str">
        <f>IF(COUNTIF(EDA_Table[Temp ID],EDA_Table[[#This Row],[Temp ID]])&gt;1,"Duplicate","Unique")</f>
        <v>Unique</v>
      </c>
    </row>
    <row r="273" spans="1:10">
      <c r="A273" t="s">
        <v>76</v>
      </c>
      <c r="B273" t="s">
        <v>434</v>
      </c>
      <c r="C273" t="s">
        <v>96</v>
      </c>
      <c r="D273" t="s">
        <v>79</v>
      </c>
      <c r="E273" s="2">
        <v>0.25</v>
      </c>
      <c r="F273" t="s">
        <v>435</v>
      </c>
      <c r="G273" t="s">
        <v>52</v>
      </c>
      <c r="H273" t="s">
        <v>39</v>
      </c>
      <c r="I27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Clarkchris.clark883@example.comUnited KingdomPanel: Women in Tech0.2534BVeganAttendee</v>
      </c>
      <c r="J273" t="str">
        <f>IF(COUNTIF(EDA_Table[Temp ID],EDA_Table[[#This Row],[Temp ID]])&gt;1,"Duplicate","Unique")</f>
        <v>Unique</v>
      </c>
    </row>
    <row r="274" spans="1:10">
      <c r="A274" t="s">
        <v>237</v>
      </c>
      <c r="B274" t="s">
        <v>436</v>
      </c>
      <c r="C274" t="s">
        <v>19</v>
      </c>
      <c r="D274" t="s">
        <v>79</v>
      </c>
      <c r="E274" s="1">
        <v>6.25E-2</v>
      </c>
      <c r="F274" t="s">
        <v>435</v>
      </c>
      <c r="G274" t="s">
        <v>52</v>
      </c>
      <c r="H274" t="s">
        <v>39</v>
      </c>
      <c r="I27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Jesse Halljesse.hall63@example.com Panel: Women in Tech0.062534BVeganAttendee</v>
      </c>
      <c r="J274" t="str">
        <f>IF(COUNTIF(EDA_Table[Temp ID],EDA_Table[[#This Row],[Temp ID]])&gt;1,"Duplicate","Unique")</f>
        <v>Duplicate</v>
      </c>
    </row>
    <row r="275" spans="1:10">
      <c r="A275" t="s">
        <v>237</v>
      </c>
      <c r="B275" t="s">
        <v>436</v>
      </c>
      <c r="C275" t="s">
        <v>19</v>
      </c>
      <c r="D275" t="s">
        <v>79</v>
      </c>
      <c r="E275" s="1">
        <v>6.25E-2</v>
      </c>
      <c r="F275" t="s">
        <v>435</v>
      </c>
      <c r="G275" t="s">
        <v>52</v>
      </c>
      <c r="H275" t="s">
        <v>39</v>
      </c>
      <c r="I27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Jesse Halljesse.hall63@example.com Panel: Women in Tech0.062534BVeganAttendee</v>
      </c>
      <c r="J275" t="str">
        <f>IF(COUNTIF(EDA_Table[Temp ID],EDA_Table[[#This Row],[Temp ID]])&gt;1,"Duplicate","Unique")</f>
        <v>Duplicate</v>
      </c>
    </row>
    <row r="276" spans="1:10">
      <c r="A276" t="s">
        <v>85</v>
      </c>
      <c r="B276" t="s">
        <v>437</v>
      </c>
      <c r="C276" t="s">
        <v>27</v>
      </c>
      <c r="D276" t="s">
        <v>71</v>
      </c>
      <c r="E276" s="2">
        <v>0.10416666666666667</v>
      </c>
      <c r="F276" t="s">
        <v>435</v>
      </c>
      <c r="G276" t="s">
        <v>15</v>
      </c>
      <c r="H276" t="s">
        <v>39</v>
      </c>
      <c r="I27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Jesse Johnsonjesse.johnson503@example.comFranceWebinar: AI Ethics0.10416666666666734BVegetarianAttendee</v>
      </c>
      <c r="J276" t="str">
        <f>IF(COUNTIF(EDA_Table[Temp ID],EDA_Table[[#This Row],[Temp ID]])&gt;1,"Duplicate","Unique")</f>
        <v>Unique</v>
      </c>
    </row>
    <row r="277" spans="1:10">
      <c r="A277" t="s">
        <v>322</v>
      </c>
      <c r="B277" t="s">
        <v>438</v>
      </c>
      <c r="C277" t="s">
        <v>101</v>
      </c>
      <c r="D277" t="s">
        <v>19</v>
      </c>
      <c r="E277" s="1">
        <v>0.16666666666666666</v>
      </c>
      <c r="F277" t="s">
        <v>439</v>
      </c>
      <c r="G277" t="s">
        <v>52</v>
      </c>
      <c r="H277" t="s">
        <v>39</v>
      </c>
      <c r="I27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Walkerdrew.walker776@example.comJapan 0.16666666666666734CVeganAttendee</v>
      </c>
      <c r="J277" t="str">
        <f>IF(COUNTIF(EDA_Table[Temp ID],EDA_Table[[#This Row],[Temp ID]])&gt;1,"Duplicate","Unique")</f>
        <v>Unique</v>
      </c>
    </row>
    <row r="278" spans="1:10">
      <c r="A278" t="s">
        <v>138</v>
      </c>
      <c r="B278" t="s">
        <v>440</v>
      </c>
      <c r="C278" t="s">
        <v>101</v>
      </c>
      <c r="D278" t="s">
        <v>71</v>
      </c>
      <c r="E278" s="1">
        <v>0.91666666666666663</v>
      </c>
      <c r="F278" t="s">
        <v>441</v>
      </c>
      <c r="G278" t="s">
        <v>52</v>
      </c>
      <c r="H278" t="s">
        <v>39</v>
      </c>
      <c r="I27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Jesse Brownjesse.brown64@example.comJapanWebinar: AI Ethics0.91666666666666734DVeganAttendee</v>
      </c>
      <c r="J278" t="str">
        <f>IF(COUNTIF(EDA_Table[Temp ID],EDA_Table[[#This Row],[Temp ID]])&gt;1,"Duplicate","Unique")</f>
        <v>Unique</v>
      </c>
    </row>
    <row r="279" spans="1:10">
      <c r="A279" t="s">
        <v>223</v>
      </c>
      <c r="B279" t="s">
        <v>442</v>
      </c>
      <c r="C279" t="s">
        <v>37</v>
      </c>
      <c r="D279" t="s">
        <v>45</v>
      </c>
      <c r="E279" s="2">
        <v>0.52083333333333337</v>
      </c>
      <c r="F279" t="s">
        <v>441</v>
      </c>
      <c r="G279" t="s">
        <v>19</v>
      </c>
      <c r="H279" t="s">
        <v>39</v>
      </c>
      <c r="I27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Leedrew.lee627@example.comCanadaKeynote: Future of Data0.52083333333333334D Attendee</v>
      </c>
      <c r="J279" t="str">
        <f>IF(COUNTIF(EDA_Table[Temp ID],EDA_Table[[#This Row],[Temp ID]])&gt;1,"Duplicate","Unique")</f>
        <v>Unique</v>
      </c>
    </row>
    <row r="280" spans="1:10">
      <c r="A280" t="s">
        <v>443</v>
      </c>
      <c r="B280" t="s">
        <v>444</v>
      </c>
      <c r="C280" t="s">
        <v>68</v>
      </c>
      <c r="D280" t="s">
        <v>71</v>
      </c>
      <c r="E280" s="2">
        <v>0.89583333333333337</v>
      </c>
      <c r="F280" t="s">
        <v>441</v>
      </c>
      <c r="G280" t="s">
        <v>91</v>
      </c>
      <c r="H280" t="s">
        <v>39</v>
      </c>
      <c r="I28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Leealex.lee532@example.comIndiaWebinar: AI Ethics0.89583333333333334DHalalAttendee</v>
      </c>
      <c r="J280" t="str">
        <f>IF(COUNTIF(EDA_Table[Temp ID],EDA_Table[[#This Row],[Temp ID]])&gt;1,"Duplicate","Unique")</f>
        <v>Unique</v>
      </c>
    </row>
    <row r="281" spans="1:10">
      <c r="A281" t="s">
        <v>389</v>
      </c>
      <c r="B281" t="s">
        <v>445</v>
      </c>
      <c r="C281" t="s">
        <v>68</v>
      </c>
      <c r="D281" t="s">
        <v>19</v>
      </c>
      <c r="E281" s="1">
        <v>0.83333333333333337</v>
      </c>
      <c r="F281" t="s">
        <v>446</v>
      </c>
      <c r="G281" t="s">
        <v>52</v>
      </c>
      <c r="H281" t="s">
        <v>39</v>
      </c>
      <c r="I28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Johnsontaylor.johnson474@example.comIndia 0.83333333333333335AVeganAttendee</v>
      </c>
      <c r="J281" t="str">
        <f>IF(COUNTIF(EDA_Table[Temp ID],EDA_Table[[#This Row],[Temp ID]])&gt;1,"Duplicate","Unique")</f>
        <v>Duplicate</v>
      </c>
    </row>
    <row r="282" spans="1:10">
      <c r="A282" t="s">
        <v>10</v>
      </c>
      <c r="B282" t="s">
        <v>447</v>
      </c>
      <c r="C282" t="s">
        <v>96</v>
      </c>
      <c r="D282" t="s">
        <v>50</v>
      </c>
      <c r="E282" s="1">
        <v>0.125</v>
      </c>
      <c r="F282" t="s">
        <v>446</v>
      </c>
      <c r="G282" t="s">
        <v>31</v>
      </c>
      <c r="H282" t="s">
        <v>21</v>
      </c>
      <c r="I28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Smithjordan.smith760@example.comUnited KingdomWorkshop: Excel Mastery0.12535ANoneSpeaker</v>
      </c>
      <c r="J282" t="str">
        <f>IF(COUNTIF(EDA_Table[Temp ID],EDA_Table[[#This Row],[Temp ID]])&gt;1,"Duplicate","Unique")</f>
        <v>Duplicate</v>
      </c>
    </row>
    <row r="283" spans="1:10">
      <c r="A283" t="s">
        <v>389</v>
      </c>
      <c r="B283" t="s">
        <v>445</v>
      </c>
      <c r="C283" t="s">
        <v>68</v>
      </c>
      <c r="D283" t="s">
        <v>19</v>
      </c>
      <c r="E283" s="1">
        <v>0.83333333333333337</v>
      </c>
      <c r="F283" t="s">
        <v>446</v>
      </c>
      <c r="G283" t="s">
        <v>52</v>
      </c>
      <c r="H283" t="s">
        <v>39</v>
      </c>
      <c r="I28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Johnsontaylor.johnson474@example.comIndia 0.83333333333333335AVeganAttendee</v>
      </c>
      <c r="J283" t="str">
        <f>IF(COUNTIF(EDA_Table[Temp ID],EDA_Table[[#This Row],[Temp ID]])&gt;1,"Duplicate","Unique")</f>
        <v>Duplicate</v>
      </c>
    </row>
    <row r="284" spans="1:10">
      <c r="A284" t="s">
        <v>265</v>
      </c>
      <c r="B284" t="s">
        <v>448</v>
      </c>
      <c r="C284" t="s">
        <v>37</v>
      </c>
      <c r="D284" t="s">
        <v>45</v>
      </c>
      <c r="E284" s="2">
        <v>0.45833333333333331</v>
      </c>
      <c r="F284" t="s">
        <v>446</v>
      </c>
      <c r="G284" t="s">
        <v>52</v>
      </c>
      <c r="H284" t="s">
        <v>39</v>
      </c>
      <c r="I28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Wilsonalex.wilson593@example.comCanadaKeynote: Future of Data0.45833333333333335AVeganAttendee</v>
      </c>
      <c r="J284" t="str">
        <f>IF(COUNTIF(EDA_Table[Temp ID],EDA_Table[[#This Row],[Temp ID]])&gt;1,"Duplicate","Unique")</f>
        <v>Unique</v>
      </c>
    </row>
    <row r="285" spans="1:10">
      <c r="A285" t="s">
        <v>53</v>
      </c>
      <c r="B285" t="s">
        <v>449</v>
      </c>
      <c r="C285" t="s">
        <v>96</v>
      </c>
      <c r="D285" t="s">
        <v>50</v>
      </c>
      <c r="E285" s="2">
        <v>0.4375</v>
      </c>
      <c r="F285" t="s">
        <v>446</v>
      </c>
      <c r="G285" t="s">
        <v>15</v>
      </c>
      <c r="H285" t="s">
        <v>39</v>
      </c>
      <c r="I28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Brownriley.brown731@example.comUnited KingdomWorkshop: Excel Mastery0.437535AVegetarianAttendee</v>
      </c>
      <c r="J285" t="str">
        <f>IF(COUNTIF(EDA_Table[Temp ID],EDA_Table[[#This Row],[Temp ID]])&gt;1,"Duplicate","Unique")</f>
        <v>Unique</v>
      </c>
    </row>
    <row r="286" spans="1:10">
      <c r="A286" t="s">
        <v>313</v>
      </c>
      <c r="B286" t="s">
        <v>450</v>
      </c>
      <c r="C286" t="s">
        <v>27</v>
      </c>
      <c r="D286" t="s">
        <v>13</v>
      </c>
      <c r="E286" s="2">
        <v>0.72916666666666663</v>
      </c>
      <c r="F286" t="s">
        <v>446</v>
      </c>
      <c r="G286" t="s">
        <v>19</v>
      </c>
      <c r="H286" t="s">
        <v>39</v>
      </c>
      <c r="I28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Browncasey.brown460@example.comFranceTraining: Dashboard Design0.72916666666666735A Attendee</v>
      </c>
      <c r="J286" t="str">
        <f>IF(COUNTIF(EDA_Table[Temp ID],EDA_Table[[#This Row],[Temp ID]])&gt;1,"Duplicate","Unique")</f>
        <v>Unique</v>
      </c>
    </row>
    <row r="287" spans="1:10">
      <c r="A287" t="s">
        <v>10</v>
      </c>
      <c r="B287" t="s">
        <v>447</v>
      </c>
      <c r="C287" t="s">
        <v>96</v>
      </c>
      <c r="D287" t="s">
        <v>50</v>
      </c>
      <c r="E287" s="1">
        <v>0.125</v>
      </c>
      <c r="F287" t="s">
        <v>446</v>
      </c>
      <c r="G287" t="s">
        <v>31</v>
      </c>
      <c r="H287" t="s">
        <v>21</v>
      </c>
      <c r="I28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Smithjordan.smith760@example.comUnited KingdomWorkshop: Excel Mastery0.12535ANoneSpeaker</v>
      </c>
      <c r="J287" t="str">
        <f>IF(COUNTIF(EDA_Table[Temp ID],EDA_Table[[#This Row],[Temp ID]])&gt;1,"Duplicate","Unique")</f>
        <v>Duplicate</v>
      </c>
    </row>
    <row r="288" spans="1:10">
      <c r="A288" t="s">
        <v>265</v>
      </c>
      <c r="B288" t="s">
        <v>451</v>
      </c>
      <c r="C288" t="s">
        <v>96</v>
      </c>
      <c r="D288" t="s">
        <v>19</v>
      </c>
      <c r="E288" s="1">
        <v>0.41666666666666669</v>
      </c>
      <c r="F288" t="s">
        <v>452</v>
      </c>
      <c r="G288" t="s">
        <v>91</v>
      </c>
      <c r="H288" t="s">
        <v>39</v>
      </c>
      <c r="I28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Wilsonalex.wilson211@example.comUnited Kingdom 0.41666666666666735BHalalAttendee</v>
      </c>
      <c r="J288" t="str">
        <f>IF(COUNTIF(EDA_Table[Temp ID],EDA_Table[[#This Row],[Temp ID]])&gt;1,"Duplicate","Unique")</f>
        <v>Unique</v>
      </c>
    </row>
    <row r="289" spans="1:10">
      <c r="A289" t="s">
        <v>190</v>
      </c>
      <c r="B289" t="s">
        <v>453</v>
      </c>
      <c r="C289" t="s">
        <v>78</v>
      </c>
      <c r="D289" t="s">
        <v>79</v>
      </c>
      <c r="E289" s="1">
        <v>0.41666666666666669</v>
      </c>
      <c r="F289" t="s">
        <v>452</v>
      </c>
      <c r="H289" t="s">
        <v>39</v>
      </c>
      <c r="I28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Johnsoncasey.johnson837@example.comAustraliaPanel: Women in Tech0.41666666666666735BAttendee</v>
      </c>
      <c r="J289" t="str">
        <f>IF(COUNTIF(EDA_Table[Temp ID],EDA_Table[[#This Row],[Temp ID]])&gt;1,"Duplicate","Unique")</f>
        <v>Unique</v>
      </c>
    </row>
    <row r="290" spans="1:10">
      <c r="A290" t="s">
        <v>147</v>
      </c>
      <c r="B290" t="s">
        <v>454</v>
      </c>
      <c r="C290" t="s">
        <v>12</v>
      </c>
      <c r="D290" t="s">
        <v>19</v>
      </c>
      <c r="E290" s="1">
        <v>0.70833333333333337</v>
      </c>
      <c r="F290" t="s">
        <v>455</v>
      </c>
      <c r="G290" t="s">
        <v>15</v>
      </c>
      <c r="H290" t="s">
        <v>39</v>
      </c>
      <c r="I29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Browntaylor.brown579@example.comUnited States 0.70833333333333335CVegetarianAttendee</v>
      </c>
      <c r="J290" t="str">
        <f>IF(COUNTIF(EDA_Table[Temp ID],EDA_Table[[#This Row],[Temp ID]])&gt;1,"Duplicate","Unique")</f>
        <v>Duplicate</v>
      </c>
    </row>
    <row r="291" spans="1:10">
      <c r="A291" t="s">
        <v>147</v>
      </c>
      <c r="B291" t="s">
        <v>454</v>
      </c>
      <c r="C291" t="s">
        <v>12</v>
      </c>
      <c r="D291" t="s">
        <v>19</v>
      </c>
      <c r="E291" s="1">
        <v>0.70833333333333337</v>
      </c>
      <c r="F291" t="s">
        <v>455</v>
      </c>
      <c r="G291" t="s">
        <v>15</v>
      </c>
      <c r="H291" t="s">
        <v>39</v>
      </c>
      <c r="I29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Browntaylor.brown579@example.comUnited States 0.70833333333333335CVegetarianAttendee</v>
      </c>
      <c r="J291" t="str">
        <f>IF(COUNTIF(EDA_Table[Temp ID],EDA_Table[[#This Row],[Temp ID]])&gt;1,"Duplicate","Unique")</f>
        <v>Duplicate</v>
      </c>
    </row>
    <row r="292" spans="1:10">
      <c r="A292" t="s">
        <v>313</v>
      </c>
      <c r="B292" t="s">
        <v>456</v>
      </c>
      <c r="C292" t="s">
        <v>34</v>
      </c>
      <c r="D292" t="s">
        <v>71</v>
      </c>
      <c r="E292" s="1">
        <v>0.4375</v>
      </c>
      <c r="F292" t="s">
        <v>455</v>
      </c>
      <c r="G292" t="s">
        <v>28</v>
      </c>
      <c r="H292" t="s">
        <v>39</v>
      </c>
      <c r="I29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Browncasey.brown307@example.comGermanyWebinar: AI Ethics0.437535CKosherAttendee</v>
      </c>
      <c r="J292" t="str">
        <f>IF(COUNTIF(EDA_Table[Temp ID],EDA_Table[[#This Row],[Temp ID]])&gt;1,"Duplicate","Unique")</f>
        <v>Unique</v>
      </c>
    </row>
    <row r="293" spans="1:10">
      <c r="A293" t="s">
        <v>108</v>
      </c>
      <c r="B293" t="s">
        <v>457</v>
      </c>
      <c r="C293" t="s">
        <v>112</v>
      </c>
      <c r="D293" t="s">
        <v>50</v>
      </c>
      <c r="E293" s="2">
        <v>0.14583333333333334</v>
      </c>
      <c r="F293" t="s">
        <v>455</v>
      </c>
      <c r="G293" t="s">
        <v>52</v>
      </c>
      <c r="H293" t="s">
        <v>39</v>
      </c>
      <c r="I29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Wilsonjamie.wilson455@example.comNigeriaWorkshop: Excel Mastery0.14583333333333335CVeganAttendee</v>
      </c>
      <c r="J293" t="str">
        <f>IF(COUNTIF(EDA_Table[Temp ID],EDA_Table[[#This Row],[Temp ID]])&gt;1,"Duplicate","Unique")</f>
        <v>Duplicate</v>
      </c>
    </row>
    <row r="294" spans="1:10">
      <c r="A294" t="s">
        <v>17</v>
      </c>
      <c r="B294" t="s">
        <v>458</v>
      </c>
      <c r="C294" t="s">
        <v>112</v>
      </c>
      <c r="D294" t="s">
        <v>71</v>
      </c>
      <c r="E294" s="1">
        <v>0.91666666666666663</v>
      </c>
      <c r="F294" t="s">
        <v>455</v>
      </c>
      <c r="G294" t="s">
        <v>31</v>
      </c>
      <c r="H294" t="s">
        <v>39</v>
      </c>
      <c r="I29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Allenriley.allen761@example.comNigeriaWebinar: AI Ethics0.91666666666666735CNoneAttendee</v>
      </c>
      <c r="J294" t="str">
        <f>IF(COUNTIF(EDA_Table[Temp ID],EDA_Table[[#This Row],[Temp ID]])&gt;1,"Duplicate","Unique")</f>
        <v>Unique</v>
      </c>
    </row>
    <row r="295" spans="1:10">
      <c r="A295" t="s">
        <v>108</v>
      </c>
      <c r="B295" t="s">
        <v>457</v>
      </c>
      <c r="C295" t="s">
        <v>112</v>
      </c>
      <c r="D295" t="s">
        <v>50</v>
      </c>
      <c r="E295" s="2">
        <v>0.14583333333333334</v>
      </c>
      <c r="F295" t="s">
        <v>455</v>
      </c>
      <c r="G295" t="s">
        <v>52</v>
      </c>
      <c r="H295" t="s">
        <v>39</v>
      </c>
      <c r="I29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Wilsonjamie.wilson455@example.comNigeriaWorkshop: Excel Mastery0.14583333333333335CVeganAttendee</v>
      </c>
      <c r="J295" t="str">
        <f>IF(COUNTIF(EDA_Table[Temp ID],EDA_Table[[#This Row],[Temp ID]])&gt;1,"Duplicate","Unique")</f>
        <v>Duplicate</v>
      </c>
    </row>
    <row r="296" spans="1:10">
      <c r="A296" t="s">
        <v>381</v>
      </c>
      <c r="B296" t="s">
        <v>459</v>
      </c>
      <c r="C296" t="s">
        <v>12</v>
      </c>
      <c r="D296" t="s">
        <v>19</v>
      </c>
      <c r="E296" s="2">
        <v>0.6875</v>
      </c>
      <c r="F296" t="s">
        <v>460</v>
      </c>
      <c r="G296" t="s">
        <v>31</v>
      </c>
      <c r="H296" t="s">
        <v>39</v>
      </c>
      <c r="I29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Jesse Wilsonjesse.wilson567@example.comUnited States 0.687535DNoneAttendee</v>
      </c>
      <c r="J296" t="str">
        <f>IF(COUNTIF(EDA_Table[Temp ID],EDA_Table[[#This Row],[Temp ID]])&gt;1,"Duplicate","Unique")</f>
        <v>Unique</v>
      </c>
    </row>
    <row r="297" spans="1:10">
      <c r="A297" t="s">
        <v>127</v>
      </c>
      <c r="B297" t="s">
        <v>461</v>
      </c>
      <c r="E297" s="1">
        <v>0.97916666666666663</v>
      </c>
      <c r="F297" t="s">
        <v>460</v>
      </c>
      <c r="G297" t="s">
        <v>31</v>
      </c>
      <c r="H297" t="s">
        <v>39</v>
      </c>
      <c r="I29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Lewiscasey.lewis83@example.com0.97916666666666735DNoneAttendee</v>
      </c>
      <c r="J297" t="str">
        <f>IF(COUNTIF(EDA_Table[Temp ID],EDA_Table[[#This Row],[Temp ID]])&gt;1,"Duplicate","Unique")</f>
        <v>Unique</v>
      </c>
    </row>
    <row r="298" spans="1:10">
      <c r="A298" t="s">
        <v>117</v>
      </c>
      <c r="B298" t="s">
        <v>462</v>
      </c>
      <c r="C298" t="s">
        <v>12</v>
      </c>
      <c r="D298" t="s">
        <v>19</v>
      </c>
      <c r="E298" s="1">
        <v>0.22916666666666666</v>
      </c>
      <c r="F298" t="s">
        <v>460</v>
      </c>
      <c r="G298" t="s">
        <v>31</v>
      </c>
      <c r="H298" t="s">
        <v>39</v>
      </c>
      <c r="I29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Wilsontaylor.wilson855@example.comUnited States 0.22916666666666735DNoneAttendee</v>
      </c>
      <c r="J298" t="str">
        <f>IF(COUNTIF(EDA_Table[Temp ID],EDA_Table[[#This Row],[Temp ID]])&gt;1,"Duplicate","Unique")</f>
        <v>Unique</v>
      </c>
    </row>
    <row r="299" spans="1:10">
      <c r="A299" t="s">
        <v>117</v>
      </c>
      <c r="B299" t="s">
        <v>463</v>
      </c>
      <c r="C299" t="s">
        <v>19</v>
      </c>
      <c r="D299" t="s">
        <v>50</v>
      </c>
      <c r="E299" s="1">
        <v>0.60416666666666663</v>
      </c>
      <c r="F299" t="s">
        <v>460</v>
      </c>
      <c r="G299" t="s">
        <v>28</v>
      </c>
      <c r="H299" t="s">
        <v>39</v>
      </c>
      <c r="I29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Wilsontaylor.wilson393@example.com Workshop: Excel Mastery0.60416666666666735DKosherAttendee</v>
      </c>
      <c r="J299" t="str">
        <f>IF(COUNTIF(EDA_Table[Temp ID],EDA_Table[[#This Row],[Temp ID]])&gt;1,"Duplicate","Unique")</f>
        <v>Unique</v>
      </c>
    </row>
    <row r="300" spans="1:10">
      <c r="A300" t="s">
        <v>242</v>
      </c>
      <c r="B300" t="s">
        <v>464</v>
      </c>
      <c r="C300" t="s">
        <v>68</v>
      </c>
      <c r="D300" t="s">
        <v>45</v>
      </c>
      <c r="E300" s="2">
        <v>0.39583333333333331</v>
      </c>
      <c r="F300" t="s">
        <v>460</v>
      </c>
      <c r="G300" t="s">
        <v>91</v>
      </c>
      <c r="H300" t="s">
        <v>39</v>
      </c>
      <c r="I30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Smithmorgan.smith811@example.comIndiaKeynote: Future of Data0.39583333333333335DHalalAttendee</v>
      </c>
      <c r="J300" t="str">
        <f>IF(COUNTIF(EDA_Table[Temp ID],EDA_Table[[#This Row],[Temp ID]])&gt;1,"Duplicate","Unique")</f>
        <v>Unique</v>
      </c>
    </row>
    <row r="301" spans="1:10">
      <c r="A301" t="s">
        <v>69</v>
      </c>
      <c r="B301" t="s">
        <v>465</v>
      </c>
      <c r="C301" t="s">
        <v>101</v>
      </c>
      <c r="D301" t="s">
        <v>79</v>
      </c>
      <c r="E301" s="1">
        <v>0.20833333333333334</v>
      </c>
      <c r="F301" t="s">
        <v>466</v>
      </c>
      <c r="G301" t="s">
        <v>15</v>
      </c>
      <c r="H301" t="s">
        <v>39</v>
      </c>
      <c r="I30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Clarkmorgan.clark971@example.comJapanPanel: Women in Tech0.20833333333333336CVegetarianAttendee</v>
      </c>
      <c r="J301" t="str">
        <f>IF(COUNTIF(EDA_Table[Temp ID],EDA_Table[[#This Row],[Temp ID]])&gt;1,"Duplicate","Unique")</f>
        <v>Unique</v>
      </c>
    </row>
    <row r="302" spans="1:10">
      <c r="A302" t="s">
        <v>180</v>
      </c>
      <c r="B302" t="s">
        <v>467</v>
      </c>
      <c r="C302" t="s">
        <v>55</v>
      </c>
      <c r="E302" s="1">
        <v>0.10416666666666667</v>
      </c>
      <c r="F302" t="s">
        <v>466</v>
      </c>
      <c r="G302" t="s">
        <v>19</v>
      </c>
      <c r="H302" t="s">
        <v>39</v>
      </c>
      <c r="I30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Allentaylor.allen265@example.comBrazil0.10416666666666736C Attendee</v>
      </c>
      <c r="J302" t="str">
        <f>IF(COUNTIF(EDA_Table[Temp ID],EDA_Table[[#This Row],[Temp ID]])&gt;1,"Duplicate","Unique")</f>
        <v>Unique</v>
      </c>
    </row>
    <row r="303" spans="1:10">
      <c r="A303" t="s">
        <v>393</v>
      </c>
      <c r="B303" t="s">
        <v>468</v>
      </c>
      <c r="C303" t="s">
        <v>37</v>
      </c>
      <c r="D303" t="s">
        <v>50</v>
      </c>
      <c r="E303" s="1">
        <v>0.6875</v>
      </c>
      <c r="F303" t="s">
        <v>466</v>
      </c>
      <c r="G303" t="s">
        <v>28</v>
      </c>
      <c r="H303" t="s">
        <v>39</v>
      </c>
      <c r="I30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Halljamie.hall230@example.comCanadaWorkshop: Excel Mastery0.687536CKosherAttendee</v>
      </c>
      <c r="J303" t="str">
        <f>IF(COUNTIF(EDA_Table[Temp ID],EDA_Table[[#This Row],[Temp ID]])&gt;1,"Duplicate","Unique")</f>
        <v>Unique</v>
      </c>
    </row>
    <row r="304" spans="1:10">
      <c r="A304" t="s">
        <v>389</v>
      </c>
      <c r="B304" t="s">
        <v>469</v>
      </c>
      <c r="C304" t="s">
        <v>19</v>
      </c>
      <c r="D304" t="s">
        <v>71</v>
      </c>
      <c r="E304" s="1">
        <v>0.20833333333333334</v>
      </c>
      <c r="F304" t="s">
        <v>466</v>
      </c>
      <c r="H304" t="s">
        <v>39</v>
      </c>
      <c r="I30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Johnsontaylor.johnson15@example.com Webinar: AI Ethics0.20833333333333336CAttendee</v>
      </c>
      <c r="J304" t="str">
        <f>IF(COUNTIF(EDA_Table[Temp ID],EDA_Table[[#This Row],[Temp ID]])&gt;1,"Duplicate","Unique")</f>
        <v>Unique</v>
      </c>
    </row>
    <row r="305" spans="1:10">
      <c r="A305" t="s">
        <v>197</v>
      </c>
      <c r="B305" t="s">
        <v>470</v>
      </c>
      <c r="C305" t="s">
        <v>27</v>
      </c>
      <c r="D305" t="s">
        <v>19</v>
      </c>
      <c r="E305" s="1">
        <v>0.5</v>
      </c>
      <c r="F305" t="s">
        <v>471</v>
      </c>
      <c r="G305" t="s">
        <v>91</v>
      </c>
      <c r="H305" t="s">
        <v>39</v>
      </c>
      <c r="I30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Lewisjamie.lewis47@example.comFrance 0.536DHalalAttendee</v>
      </c>
      <c r="J305" t="str">
        <f>IF(COUNTIF(EDA_Table[Temp ID],EDA_Table[[#This Row],[Temp ID]])&gt;1,"Duplicate","Unique")</f>
        <v>Unique</v>
      </c>
    </row>
    <row r="306" spans="1:10">
      <c r="A306" t="s">
        <v>83</v>
      </c>
      <c r="B306" t="s">
        <v>472</v>
      </c>
      <c r="C306" t="s">
        <v>96</v>
      </c>
      <c r="D306" t="s">
        <v>45</v>
      </c>
      <c r="E306" s="1">
        <v>0.58333333333333337</v>
      </c>
      <c r="F306" t="s">
        <v>471</v>
      </c>
      <c r="G306" t="s">
        <v>52</v>
      </c>
      <c r="H306" t="s">
        <v>39</v>
      </c>
      <c r="I30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Walkerchris.walker369@example.comUnited KingdomKeynote: Future of Data0.58333333333333336DVeganAttendee</v>
      </c>
      <c r="J306" t="str">
        <f>IF(COUNTIF(EDA_Table[Temp ID],EDA_Table[[#This Row],[Temp ID]])&gt;1,"Duplicate","Unique")</f>
        <v>Unique</v>
      </c>
    </row>
    <row r="307" spans="1:10">
      <c r="A307" t="s">
        <v>255</v>
      </c>
      <c r="B307" t="s">
        <v>473</v>
      </c>
      <c r="C307" t="s">
        <v>101</v>
      </c>
      <c r="D307" t="s">
        <v>71</v>
      </c>
      <c r="E307" s="2">
        <v>0.60416666666666663</v>
      </c>
      <c r="F307" t="s">
        <v>471</v>
      </c>
      <c r="G307" t="s">
        <v>15</v>
      </c>
      <c r="H307" t="s">
        <v>39</v>
      </c>
      <c r="I30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Walkertaylor.walker684@example.comJapanWebinar: AI Ethics0.60416666666666736DVegetarianAttendee</v>
      </c>
      <c r="J307" t="str">
        <f>IF(COUNTIF(EDA_Table[Temp ID],EDA_Table[[#This Row],[Temp ID]])&gt;1,"Duplicate","Unique")</f>
        <v>Unique</v>
      </c>
    </row>
    <row r="308" spans="1:10">
      <c r="A308" t="s">
        <v>105</v>
      </c>
      <c r="B308" t="s">
        <v>474</v>
      </c>
      <c r="C308" t="s">
        <v>112</v>
      </c>
      <c r="D308" t="s">
        <v>19</v>
      </c>
      <c r="E308" s="1">
        <v>0.85416666666666663</v>
      </c>
      <c r="F308" t="s">
        <v>471</v>
      </c>
      <c r="G308" t="s">
        <v>28</v>
      </c>
      <c r="H308" t="s">
        <v>39</v>
      </c>
      <c r="I30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Jesse Allenjesse.allen676@example.comNigeria 0.85416666666666736DKosherAttendee</v>
      </c>
      <c r="J308" t="str">
        <f>IF(COUNTIF(EDA_Table[Temp ID],EDA_Table[[#This Row],[Temp ID]])&gt;1,"Duplicate","Unique")</f>
        <v>Unique</v>
      </c>
    </row>
    <row r="309" spans="1:10">
      <c r="A309" t="s">
        <v>475</v>
      </c>
      <c r="B309" t="s">
        <v>476</v>
      </c>
      <c r="C309" t="s">
        <v>34</v>
      </c>
      <c r="D309" t="s">
        <v>45</v>
      </c>
      <c r="E309" s="1">
        <v>0.95833333333333337</v>
      </c>
      <c r="F309" t="s">
        <v>477</v>
      </c>
      <c r="G309" t="s">
        <v>31</v>
      </c>
      <c r="H309" t="s">
        <v>39</v>
      </c>
      <c r="I30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Browndrew.brown872@example.comGermanyKeynote: Future of Data0.95833333333333337BNoneAttendee</v>
      </c>
      <c r="J309" t="str">
        <f>IF(COUNTIF(EDA_Table[Temp ID],EDA_Table[[#This Row],[Temp ID]])&gt;1,"Duplicate","Unique")</f>
        <v>Unique</v>
      </c>
    </row>
    <row r="310" spans="1:10">
      <c r="A310" t="s">
        <v>151</v>
      </c>
      <c r="B310" t="s">
        <v>478</v>
      </c>
      <c r="C310" t="s">
        <v>37</v>
      </c>
      <c r="D310" t="s">
        <v>45</v>
      </c>
      <c r="E310" s="1">
        <v>0.14583333333333334</v>
      </c>
      <c r="F310" t="s">
        <v>477</v>
      </c>
      <c r="G310" t="s">
        <v>91</v>
      </c>
      <c r="H310" t="s">
        <v>39</v>
      </c>
      <c r="I31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Clarkriley.clark39@example.comCanadaKeynote: Future of Data0.14583333333333337BHalalAttendee</v>
      </c>
      <c r="J310" t="str">
        <f>IF(COUNTIF(EDA_Table[Temp ID],EDA_Table[[#This Row],[Temp ID]])&gt;1,"Duplicate","Unique")</f>
        <v>Unique</v>
      </c>
    </row>
    <row r="311" spans="1:10">
      <c r="A311" t="s">
        <v>202</v>
      </c>
      <c r="B311" t="s">
        <v>479</v>
      </c>
      <c r="C311" t="s">
        <v>101</v>
      </c>
      <c r="D311" t="s">
        <v>50</v>
      </c>
      <c r="E311" s="2">
        <v>0.20833333333333334</v>
      </c>
      <c r="F311" t="s">
        <v>477</v>
      </c>
      <c r="H311" t="s">
        <v>39</v>
      </c>
      <c r="I31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Jesse Leejesse.lee776@example.comJapanWorkshop: Excel Mastery0.20833333333333337BAttendee</v>
      </c>
      <c r="J311" t="str">
        <f>IF(COUNTIF(EDA_Table[Temp ID],EDA_Table[[#This Row],[Temp ID]])&gt;1,"Duplicate","Unique")</f>
        <v>Unique</v>
      </c>
    </row>
    <row r="312" spans="1:10">
      <c r="A312" t="s">
        <v>183</v>
      </c>
      <c r="B312" t="s">
        <v>480</v>
      </c>
      <c r="C312" t="s">
        <v>34</v>
      </c>
      <c r="D312" t="s">
        <v>13</v>
      </c>
      <c r="E312" s="2">
        <v>0.39583333333333331</v>
      </c>
      <c r="F312" t="s">
        <v>477</v>
      </c>
      <c r="G312" t="s">
        <v>91</v>
      </c>
      <c r="H312" t="s">
        <v>39</v>
      </c>
      <c r="I31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Walkermorgan.walker322@example.comGermanyTraining: Dashboard Design0.39583333333333337BHalalAttendee</v>
      </c>
      <c r="J312" t="str">
        <f>IF(COUNTIF(EDA_Table[Temp ID],EDA_Table[[#This Row],[Temp ID]])&gt;1,"Duplicate","Unique")</f>
        <v>Unique</v>
      </c>
    </row>
    <row r="313" spans="1:10">
      <c r="A313" t="s">
        <v>117</v>
      </c>
      <c r="B313" t="s">
        <v>481</v>
      </c>
      <c r="C313" t="s">
        <v>19</v>
      </c>
      <c r="D313" t="s">
        <v>79</v>
      </c>
      <c r="E313" s="1">
        <v>0.97916666666666663</v>
      </c>
      <c r="F313" t="s">
        <v>482</v>
      </c>
      <c r="H313" t="s">
        <v>39</v>
      </c>
      <c r="I31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Wilsontaylor.wilson150@example.com Panel: Women in Tech0.97916666666666737CAttendee</v>
      </c>
      <c r="J313" t="str">
        <f>IF(COUNTIF(EDA_Table[Temp ID],EDA_Table[[#This Row],[Temp ID]])&gt;1,"Duplicate","Unique")</f>
        <v>Unique</v>
      </c>
    </row>
    <row r="314" spans="1:10">
      <c r="A314" t="s">
        <v>155</v>
      </c>
      <c r="B314" t="s">
        <v>483</v>
      </c>
      <c r="C314" t="s">
        <v>96</v>
      </c>
      <c r="D314" t="s">
        <v>79</v>
      </c>
      <c r="E314" s="2">
        <v>0.41666666666666669</v>
      </c>
      <c r="F314" t="s">
        <v>484</v>
      </c>
      <c r="G314" t="s">
        <v>19</v>
      </c>
      <c r="H314" t="s">
        <v>39</v>
      </c>
      <c r="I31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Wilsoncasey.wilson507@example.comUnited KingdomPanel: Women in Tech0.41666666666666737D Attendee</v>
      </c>
      <c r="J314" t="str">
        <f>IF(COUNTIF(EDA_Table[Temp ID],EDA_Table[[#This Row],[Temp ID]])&gt;1,"Duplicate","Unique")</f>
        <v>Duplicate</v>
      </c>
    </row>
    <row r="315" spans="1:10">
      <c r="A315" t="s">
        <v>155</v>
      </c>
      <c r="B315" t="s">
        <v>483</v>
      </c>
      <c r="C315" t="s">
        <v>96</v>
      </c>
      <c r="D315" t="s">
        <v>79</v>
      </c>
      <c r="E315" s="2">
        <v>0.41666666666666669</v>
      </c>
      <c r="F315" t="s">
        <v>484</v>
      </c>
      <c r="G315" t="s">
        <v>19</v>
      </c>
      <c r="H315" t="s">
        <v>39</v>
      </c>
      <c r="I31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Wilsoncasey.wilson507@example.comUnited KingdomPanel: Women in Tech0.41666666666666737D Attendee</v>
      </c>
      <c r="J315" t="str">
        <f>IF(COUNTIF(EDA_Table[Temp ID],EDA_Table[[#This Row],[Temp ID]])&gt;1,"Duplicate","Unique")</f>
        <v>Duplicate</v>
      </c>
    </row>
    <row r="316" spans="1:10">
      <c r="A316" t="s">
        <v>73</v>
      </c>
      <c r="B316" t="s">
        <v>485</v>
      </c>
      <c r="C316" t="s">
        <v>34</v>
      </c>
      <c r="D316" t="s">
        <v>45</v>
      </c>
      <c r="E316" s="2">
        <v>0.77083333333333337</v>
      </c>
      <c r="F316" t="s">
        <v>484</v>
      </c>
      <c r="G316" t="s">
        <v>15</v>
      </c>
      <c r="H316" t="s">
        <v>39</v>
      </c>
      <c r="I31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Smithtaylor.smith966@example.comGermanyKeynote: Future of Data0.77083333333333337DVegetarianAttendee</v>
      </c>
      <c r="J316" t="str">
        <f>IF(COUNTIF(EDA_Table[Temp ID],EDA_Table[[#This Row],[Temp ID]])&gt;1,"Duplicate","Unique")</f>
        <v>Unique</v>
      </c>
    </row>
    <row r="317" spans="1:10">
      <c r="A317" t="s">
        <v>330</v>
      </c>
      <c r="B317" t="s">
        <v>486</v>
      </c>
      <c r="C317" t="s">
        <v>37</v>
      </c>
      <c r="D317" t="s">
        <v>19</v>
      </c>
      <c r="E317" s="2">
        <v>0.77083333333333337</v>
      </c>
      <c r="F317" t="s">
        <v>484</v>
      </c>
      <c r="H317" t="s">
        <v>39</v>
      </c>
      <c r="I31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Walkeralex.walker944@example.comCanada 0.77083333333333337DAttendee</v>
      </c>
      <c r="J317" t="str">
        <f>IF(COUNTIF(EDA_Table[Temp ID],EDA_Table[[#This Row],[Temp ID]])&gt;1,"Duplicate","Unique")</f>
        <v>Unique</v>
      </c>
    </row>
    <row r="318" spans="1:10">
      <c r="A318" t="s">
        <v>170</v>
      </c>
      <c r="B318" t="s">
        <v>487</v>
      </c>
      <c r="C318" t="s">
        <v>55</v>
      </c>
      <c r="D318" t="s">
        <v>45</v>
      </c>
      <c r="E318" s="2">
        <v>0.9375</v>
      </c>
      <c r="F318" t="s">
        <v>488</v>
      </c>
      <c r="G318" t="s">
        <v>91</v>
      </c>
      <c r="H318" t="s">
        <v>39</v>
      </c>
      <c r="I31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Halljordan.hall882@example.comBrazilKeynote: Future of Data0.937538AHalalAttendee</v>
      </c>
      <c r="J318" t="str">
        <f>IF(COUNTIF(EDA_Table[Temp ID],EDA_Table[[#This Row],[Temp ID]])&gt;1,"Duplicate","Unique")</f>
        <v>Unique</v>
      </c>
    </row>
    <row r="319" spans="1:10">
      <c r="A319" t="s">
        <v>257</v>
      </c>
      <c r="B319" t="s">
        <v>489</v>
      </c>
      <c r="C319" t="s">
        <v>68</v>
      </c>
      <c r="D319" t="s">
        <v>13</v>
      </c>
      <c r="E319" s="2">
        <v>0.89583333333333337</v>
      </c>
      <c r="F319" t="s">
        <v>488</v>
      </c>
      <c r="G319" t="s">
        <v>52</v>
      </c>
      <c r="H319" t="s">
        <v>39</v>
      </c>
      <c r="I31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Walkerjamie.walker259@example.comIndiaTraining: Dashboard Design0.89583333333333338AVeganAttendee</v>
      </c>
      <c r="J319" t="str">
        <f>IF(COUNTIF(EDA_Table[Temp ID],EDA_Table[[#This Row],[Temp ID]])&gt;1,"Duplicate","Unique")</f>
        <v>Unique</v>
      </c>
    </row>
    <row r="320" spans="1:10">
      <c r="A320" t="s">
        <v>416</v>
      </c>
      <c r="B320" t="s">
        <v>490</v>
      </c>
      <c r="C320" t="s">
        <v>27</v>
      </c>
      <c r="D320" t="s">
        <v>71</v>
      </c>
      <c r="E320" s="1">
        <v>8.3333333333333329E-2</v>
      </c>
      <c r="F320" t="s">
        <v>491</v>
      </c>
      <c r="G320" t="s">
        <v>28</v>
      </c>
      <c r="H320" t="s">
        <v>39</v>
      </c>
      <c r="I32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Lewischris.lewis690@example.comFranceWebinar: AI Ethics0.083333333333333338BKosherAttendee</v>
      </c>
      <c r="J320" t="str">
        <f>IF(COUNTIF(EDA_Table[Temp ID],EDA_Table[[#This Row],[Temp ID]])&gt;1,"Duplicate","Unique")</f>
        <v>Unique</v>
      </c>
    </row>
    <row r="321" spans="1:10">
      <c r="A321" t="s">
        <v>92</v>
      </c>
      <c r="B321" t="s">
        <v>492</v>
      </c>
      <c r="C321" t="s">
        <v>78</v>
      </c>
      <c r="D321" t="s">
        <v>45</v>
      </c>
      <c r="E321" s="2">
        <v>0.16666666666666666</v>
      </c>
      <c r="F321" t="s">
        <v>493</v>
      </c>
      <c r="H321" t="s">
        <v>39</v>
      </c>
      <c r="I32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Brownjordan.brown96@example.comAustraliaKeynote: Future of Data0.16666666666666738CAttendee</v>
      </c>
      <c r="J321" t="str">
        <f>IF(COUNTIF(EDA_Table[Temp ID],EDA_Table[[#This Row],[Temp ID]])&gt;1,"Duplicate","Unique")</f>
        <v>Duplicate</v>
      </c>
    </row>
    <row r="322" spans="1:10">
      <c r="A322" t="s">
        <v>494</v>
      </c>
      <c r="B322" t="s">
        <v>495</v>
      </c>
      <c r="D322" t="s">
        <v>19</v>
      </c>
      <c r="E322" s="1">
        <v>0.83333333333333337</v>
      </c>
      <c r="F322" t="s">
        <v>493</v>
      </c>
      <c r="G322" t="s">
        <v>19</v>
      </c>
      <c r="H322" t="s">
        <v>39</v>
      </c>
      <c r="I32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Lewisriley.lewis396@example.com 0.83333333333333338C Attendee</v>
      </c>
      <c r="J322" t="str">
        <f>IF(COUNTIF(EDA_Table[Temp ID],EDA_Table[[#This Row],[Temp ID]])&gt;1,"Duplicate","Unique")</f>
        <v>Duplicate</v>
      </c>
    </row>
    <row r="323" spans="1:10">
      <c r="A323" t="s">
        <v>92</v>
      </c>
      <c r="B323" t="s">
        <v>492</v>
      </c>
      <c r="C323" t="s">
        <v>78</v>
      </c>
      <c r="D323" t="s">
        <v>45</v>
      </c>
      <c r="E323" s="2">
        <v>0.16666666666666666</v>
      </c>
      <c r="F323" t="s">
        <v>493</v>
      </c>
      <c r="H323" t="s">
        <v>39</v>
      </c>
      <c r="I32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Brownjordan.brown96@example.comAustraliaKeynote: Future of Data0.16666666666666738CAttendee</v>
      </c>
      <c r="J323" t="str">
        <f>IF(COUNTIF(EDA_Table[Temp ID],EDA_Table[[#This Row],[Temp ID]])&gt;1,"Duplicate","Unique")</f>
        <v>Duplicate</v>
      </c>
    </row>
    <row r="324" spans="1:10">
      <c r="A324" t="s">
        <v>494</v>
      </c>
      <c r="B324" t="s">
        <v>495</v>
      </c>
      <c r="D324" t="s">
        <v>19</v>
      </c>
      <c r="E324" s="1">
        <v>0.83333333333333337</v>
      </c>
      <c r="F324" t="s">
        <v>493</v>
      </c>
      <c r="G324" t="s">
        <v>19</v>
      </c>
      <c r="H324" t="s">
        <v>39</v>
      </c>
      <c r="I32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Lewisriley.lewis396@example.com 0.83333333333333338C Attendee</v>
      </c>
      <c r="J324" t="str">
        <f>IF(COUNTIF(EDA_Table[Temp ID],EDA_Table[[#This Row],[Temp ID]])&gt;1,"Duplicate","Unique")</f>
        <v>Duplicate</v>
      </c>
    </row>
    <row r="325" spans="1:10">
      <c r="A325" t="s">
        <v>443</v>
      </c>
      <c r="B325" t="s">
        <v>496</v>
      </c>
      <c r="C325" t="s">
        <v>101</v>
      </c>
      <c r="E325" s="2">
        <v>0.33333333333333331</v>
      </c>
      <c r="F325" t="s">
        <v>497</v>
      </c>
      <c r="H325" t="s">
        <v>39</v>
      </c>
      <c r="I32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Leealex.lee482@example.comJapan0.33333333333333338DAttendee</v>
      </c>
      <c r="J325" t="str">
        <f>IF(COUNTIF(EDA_Table[Temp ID],EDA_Table[[#This Row],[Temp ID]])&gt;1,"Duplicate","Unique")</f>
        <v>Duplicate</v>
      </c>
    </row>
    <row r="326" spans="1:10">
      <c r="A326" t="s">
        <v>396</v>
      </c>
      <c r="B326" t="s">
        <v>498</v>
      </c>
      <c r="C326" t="s">
        <v>34</v>
      </c>
      <c r="D326" t="s">
        <v>50</v>
      </c>
      <c r="E326" s="2">
        <v>0.97916666666666663</v>
      </c>
      <c r="F326" t="s">
        <v>497</v>
      </c>
      <c r="G326" t="s">
        <v>91</v>
      </c>
      <c r="H326" t="s">
        <v>21</v>
      </c>
      <c r="I32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Leeriley.lee272@example.comGermanyWorkshop: Excel Mastery0.97916666666666738DHalalSpeaker</v>
      </c>
      <c r="J326" t="str">
        <f>IF(COUNTIF(EDA_Table[Temp ID],EDA_Table[[#This Row],[Temp ID]])&gt;1,"Duplicate","Unique")</f>
        <v>Duplicate</v>
      </c>
    </row>
    <row r="327" spans="1:10">
      <c r="A327" t="s">
        <v>396</v>
      </c>
      <c r="B327" t="s">
        <v>498</v>
      </c>
      <c r="C327" t="s">
        <v>34</v>
      </c>
      <c r="D327" t="s">
        <v>50</v>
      </c>
      <c r="E327" s="2">
        <v>0.97916666666666663</v>
      </c>
      <c r="F327" t="s">
        <v>497</v>
      </c>
      <c r="G327" t="s">
        <v>91</v>
      </c>
      <c r="H327" t="s">
        <v>21</v>
      </c>
      <c r="I32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Leeriley.lee272@example.comGermanyWorkshop: Excel Mastery0.97916666666666738DHalalSpeaker</v>
      </c>
      <c r="J327" t="str">
        <f>IF(COUNTIF(EDA_Table[Temp ID],EDA_Table[[#This Row],[Temp ID]])&gt;1,"Duplicate","Unique")</f>
        <v>Duplicate</v>
      </c>
    </row>
    <row r="328" spans="1:10">
      <c r="A328" t="s">
        <v>443</v>
      </c>
      <c r="B328" t="s">
        <v>496</v>
      </c>
      <c r="C328" t="s">
        <v>101</v>
      </c>
      <c r="E328" s="2">
        <v>0.33333333333333331</v>
      </c>
      <c r="F328" t="s">
        <v>497</v>
      </c>
      <c r="H328" t="s">
        <v>39</v>
      </c>
      <c r="I32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Leealex.lee482@example.comJapan0.33333333333333338DAttendee</v>
      </c>
      <c r="J328" t="str">
        <f>IF(COUNTIF(EDA_Table[Temp ID],EDA_Table[[#This Row],[Temp ID]])&gt;1,"Duplicate","Unique")</f>
        <v>Duplicate</v>
      </c>
    </row>
    <row r="329" spans="1:10">
      <c r="A329" t="s">
        <v>499</v>
      </c>
      <c r="B329" t="s">
        <v>500</v>
      </c>
      <c r="C329" t="s">
        <v>112</v>
      </c>
      <c r="E329" s="1">
        <v>4.1666666666666664E-2</v>
      </c>
      <c r="F329" t="s">
        <v>501</v>
      </c>
      <c r="G329" t="s">
        <v>19</v>
      </c>
      <c r="H329" t="s">
        <v>39</v>
      </c>
      <c r="I32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Smithchris.smith339@example.comNigeria0.041666666666666739A Attendee</v>
      </c>
      <c r="J329" t="str">
        <f>IF(COUNTIF(EDA_Table[Temp ID],EDA_Table[[#This Row],[Temp ID]])&gt;1,"Duplicate","Unique")</f>
        <v>Unique</v>
      </c>
    </row>
    <row r="330" spans="1:10">
      <c r="A330" t="s">
        <v>416</v>
      </c>
      <c r="B330" t="s">
        <v>502</v>
      </c>
      <c r="C330" t="s">
        <v>96</v>
      </c>
      <c r="D330" t="s">
        <v>71</v>
      </c>
      <c r="E330" s="2">
        <v>0.58333333333333337</v>
      </c>
      <c r="F330" t="s">
        <v>501</v>
      </c>
      <c r="G330" t="s">
        <v>28</v>
      </c>
      <c r="H330" t="s">
        <v>39</v>
      </c>
      <c r="I33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Lewischris.lewis966@example.comUnited KingdomWebinar: AI Ethics0.58333333333333339AKosherAttendee</v>
      </c>
      <c r="J330" t="str">
        <f>IF(COUNTIF(EDA_Table[Temp ID],EDA_Table[[#This Row],[Temp ID]])&gt;1,"Duplicate","Unique")</f>
        <v>Unique</v>
      </c>
    </row>
    <row r="331" spans="1:10">
      <c r="A331" t="s">
        <v>202</v>
      </c>
      <c r="B331" t="s">
        <v>503</v>
      </c>
      <c r="C331" t="s">
        <v>68</v>
      </c>
      <c r="D331" t="s">
        <v>19</v>
      </c>
      <c r="E331" s="1">
        <v>6.25E-2</v>
      </c>
      <c r="F331" t="s">
        <v>504</v>
      </c>
      <c r="G331" t="s">
        <v>91</v>
      </c>
      <c r="H331" t="s">
        <v>39</v>
      </c>
      <c r="I33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Jesse Leejesse.lee804@example.comIndia 0.062539BHalalAttendee</v>
      </c>
      <c r="J331" t="str">
        <f>IF(COUNTIF(EDA_Table[Temp ID],EDA_Table[[#This Row],[Temp ID]])&gt;1,"Duplicate","Unique")</f>
        <v>Unique</v>
      </c>
    </row>
    <row r="332" spans="1:10">
      <c r="A332" t="s">
        <v>250</v>
      </c>
      <c r="B332" t="s">
        <v>505</v>
      </c>
      <c r="C332" t="s">
        <v>78</v>
      </c>
      <c r="D332" t="s">
        <v>13</v>
      </c>
      <c r="E332" s="1">
        <v>0.375</v>
      </c>
      <c r="F332" t="s">
        <v>506</v>
      </c>
      <c r="G332" t="s">
        <v>31</v>
      </c>
      <c r="H332" t="s">
        <v>39</v>
      </c>
      <c r="I33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Smithriley.smith106@example.comAustraliaTraining: Dashboard Design0.37539CNoneAttendee</v>
      </c>
      <c r="J332" t="str">
        <f>IF(COUNTIF(EDA_Table[Temp ID],EDA_Table[[#This Row],[Temp ID]])&gt;1,"Duplicate","Unique")</f>
        <v>Duplicate</v>
      </c>
    </row>
    <row r="333" spans="1:10">
      <c r="A333" t="s">
        <v>250</v>
      </c>
      <c r="B333" t="s">
        <v>505</v>
      </c>
      <c r="C333" t="s">
        <v>78</v>
      </c>
      <c r="D333" t="s">
        <v>13</v>
      </c>
      <c r="E333" s="1">
        <v>0.375</v>
      </c>
      <c r="F333" t="s">
        <v>506</v>
      </c>
      <c r="G333" t="s">
        <v>31</v>
      </c>
      <c r="H333" t="s">
        <v>39</v>
      </c>
      <c r="I33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Smithriley.smith106@example.comAustraliaTraining: Dashboard Design0.37539CNoneAttendee</v>
      </c>
      <c r="J333" t="str">
        <f>IF(COUNTIF(EDA_Table[Temp ID],EDA_Table[[#This Row],[Temp ID]])&gt;1,"Duplicate","Unique")</f>
        <v>Duplicate</v>
      </c>
    </row>
    <row r="334" spans="1:10">
      <c r="A334" t="s">
        <v>507</v>
      </c>
      <c r="B334" t="s">
        <v>508</v>
      </c>
      <c r="C334" t="s">
        <v>68</v>
      </c>
      <c r="D334" t="s">
        <v>79</v>
      </c>
      <c r="E334" s="2">
        <v>0.4375</v>
      </c>
      <c r="F334" t="s">
        <v>506</v>
      </c>
      <c r="G334" t="s">
        <v>31</v>
      </c>
      <c r="H334" t="s">
        <v>39</v>
      </c>
      <c r="I33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Leejamie.lee500@example.comIndiaPanel: Women in Tech0.437539CNoneAttendee</v>
      </c>
      <c r="J334" t="str">
        <f>IF(COUNTIF(EDA_Table[Temp ID],EDA_Table[[#This Row],[Temp ID]])&gt;1,"Duplicate","Unique")</f>
        <v>Unique</v>
      </c>
    </row>
    <row r="335" spans="1:10">
      <c r="A335" t="s">
        <v>108</v>
      </c>
      <c r="B335" t="s">
        <v>509</v>
      </c>
      <c r="C335" t="s">
        <v>37</v>
      </c>
      <c r="D335" t="s">
        <v>79</v>
      </c>
      <c r="E335" s="2">
        <v>0.6875</v>
      </c>
      <c r="F335" t="s">
        <v>510</v>
      </c>
      <c r="G335" t="s">
        <v>31</v>
      </c>
      <c r="H335" t="s">
        <v>39</v>
      </c>
      <c r="I33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Wilsonjamie.wilson469@example.comCanadaPanel: Women in Tech0.687539DNoneAttendee</v>
      </c>
      <c r="J335" t="str">
        <f>IF(COUNTIF(EDA_Table[Temp ID],EDA_Table[[#This Row],[Temp ID]])&gt;1,"Duplicate","Unique")</f>
        <v>Unique</v>
      </c>
    </row>
    <row r="336" spans="1:10">
      <c r="A336" t="s">
        <v>17</v>
      </c>
      <c r="B336" t="s">
        <v>511</v>
      </c>
      <c r="C336" t="s">
        <v>112</v>
      </c>
      <c r="D336" t="s">
        <v>45</v>
      </c>
      <c r="E336" s="1">
        <v>0.72916666666666663</v>
      </c>
      <c r="F336" t="s">
        <v>510</v>
      </c>
      <c r="G336" t="s">
        <v>52</v>
      </c>
      <c r="H336" t="s">
        <v>39</v>
      </c>
      <c r="I33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Allenriley.allen624@example.comNigeriaKeynote: Future of Data0.72916666666666739DVeganAttendee</v>
      </c>
      <c r="J336" t="str">
        <f>IF(COUNTIF(EDA_Table[Temp ID],EDA_Table[[#This Row],[Temp ID]])&gt;1,"Duplicate","Unique")</f>
        <v>Duplicate</v>
      </c>
    </row>
    <row r="337" spans="1:10">
      <c r="A337" t="s">
        <v>17</v>
      </c>
      <c r="B337" t="s">
        <v>511</v>
      </c>
      <c r="C337" t="s">
        <v>112</v>
      </c>
      <c r="D337" t="s">
        <v>45</v>
      </c>
      <c r="E337" s="1">
        <v>0.72916666666666663</v>
      </c>
      <c r="F337" t="s">
        <v>510</v>
      </c>
      <c r="G337" t="s">
        <v>52</v>
      </c>
      <c r="H337" t="s">
        <v>39</v>
      </c>
      <c r="I33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Allenriley.allen624@example.comNigeriaKeynote: Future of Data0.72916666666666739DVeganAttendee</v>
      </c>
      <c r="J337" t="str">
        <f>IF(COUNTIF(EDA_Table[Temp ID],EDA_Table[[#This Row],[Temp ID]])&gt;1,"Duplicate","Unique")</f>
        <v>Duplicate</v>
      </c>
    </row>
    <row r="338" spans="1:10">
      <c r="A338" t="s">
        <v>48</v>
      </c>
      <c r="B338" t="s">
        <v>512</v>
      </c>
      <c r="C338" t="s">
        <v>55</v>
      </c>
      <c r="D338" t="s">
        <v>19</v>
      </c>
      <c r="E338" s="1">
        <v>0.1875</v>
      </c>
      <c r="F338" t="s">
        <v>513</v>
      </c>
      <c r="G338" t="s">
        <v>15</v>
      </c>
      <c r="H338" t="s">
        <v>39</v>
      </c>
      <c r="I33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Clarkjamie.clark572@example.comBrazil 0.18753AVegetarianAttendee</v>
      </c>
      <c r="J338" t="str">
        <f>IF(COUNTIF(EDA_Table[Temp ID],EDA_Table[[#This Row],[Temp ID]])&gt;1,"Duplicate","Unique")</f>
        <v>Unique</v>
      </c>
    </row>
    <row r="339" spans="1:10">
      <c r="A339" t="s">
        <v>419</v>
      </c>
      <c r="B339" t="s">
        <v>514</v>
      </c>
      <c r="C339" t="s">
        <v>34</v>
      </c>
      <c r="D339" t="s">
        <v>71</v>
      </c>
      <c r="E339" s="2">
        <v>0.16666666666666666</v>
      </c>
      <c r="F339" t="s">
        <v>513</v>
      </c>
      <c r="G339" t="s">
        <v>15</v>
      </c>
      <c r="H339" t="s">
        <v>39</v>
      </c>
      <c r="I33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Allenalex.allen492@example.comGermanyWebinar: AI Ethics0.1666666666666673AVegetarianAttendee</v>
      </c>
      <c r="J339" t="str">
        <f>IF(COUNTIF(EDA_Table[Temp ID],EDA_Table[[#This Row],[Temp ID]])&gt;1,"Duplicate","Unique")</f>
        <v>Unique</v>
      </c>
    </row>
    <row r="340" spans="1:10">
      <c r="A340" t="s">
        <v>29</v>
      </c>
      <c r="B340" t="s">
        <v>515</v>
      </c>
      <c r="C340" t="s">
        <v>96</v>
      </c>
      <c r="D340" t="s">
        <v>19</v>
      </c>
      <c r="E340" s="1">
        <v>0.10416666666666667</v>
      </c>
      <c r="F340" t="s">
        <v>513</v>
      </c>
      <c r="G340" t="s">
        <v>91</v>
      </c>
      <c r="H340" t="s">
        <v>39</v>
      </c>
      <c r="I34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Hallchris.hall501@example.comUnited Kingdom 0.1041666666666673AHalalAttendee</v>
      </c>
      <c r="J340" t="str">
        <f>IF(COUNTIF(EDA_Table[Temp ID],EDA_Table[[#This Row],[Temp ID]])&gt;1,"Duplicate","Unique")</f>
        <v>Unique</v>
      </c>
    </row>
    <row r="341" spans="1:10">
      <c r="A341" t="s">
        <v>108</v>
      </c>
      <c r="B341" t="s">
        <v>516</v>
      </c>
      <c r="C341" t="s">
        <v>34</v>
      </c>
      <c r="D341" t="s">
        <v>79</v>
      </c>
      <c r="E341" s="2">
        <v>0.58333333333333337</v>
      </c>
      <c r="F341" t="s">
        <v>517</v>
      </c>
      <c r="H341" t="s">
        <v>39</v>
      </c>
      <c r="I34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Wilsonjamie.wilson931@example.comGermanyPanel: Women in Tech0.5833333333333333BAttendee</v>
      </c>
      <c r="J341" t="str">
        <f>IF(COUNTIF(EDA_Table[Temp ID],EDA_Table[[#This Row],[Temp ID]])&gt;1,"Duplicate","Unique")</f>
        <v>Unique</v>
      </c>
    </row>
    <row r="342" spans="1:10">
      <c r="A342" t="s">
        <v>133</v>
      </c>
      <c r="B342" t="s">
        <v>518</v>
      </c>
      <c r="C342" t="s">
        <v>27</v>
      </c>
      <c r="D342" t="s">
        <v>50</v>
      </c>
      <c r="E342" s="2">
        <v>0</v>
      </c>
      <c r="F342" t="s">
        <v>517</v>
      </c>
      <c r="G342" t="s">
        <v>31</v>
      </c>
      <c r="H342" t="s">
        <v>39</v>
      </c>
      <c r="I34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Walkerriley.walker216@example.comFranceWorkshop: Excel Mastery03BNoneAttendee</v>
      </c>
      <c r="J342" t="str">
        <f>IF(COUNTIF(EDA_Table[Temp ID],EDA_Table[[#This Row],[Temp ID]])&gt;1,"Duplicate","Unique")</f>
        <v>Unique</v>
      </c>
    </row>
    <row r="343" spans="1:10">
      <c r="A343" t="s">
        <v>265</v>
      </c>
      <c r="B343" t="s">
        <v>519</v>
      </c>
      <c r="C343" t="s">
        <v>55</v>
      </c>
      <c r="D343" t="s">
        <v>13</v>
      </c>
      <c r="E343" s="2">
        <v>0.58333333333333337</v>
      </c>
      <c r="F343" t="s">
        <v>520</v>
      </c>
      <c r="G343" t="s">
        <v>52</v>
      </c>
      <c r="H343" t="s">
        <v>39</v>
      </c>
      <c r="I34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Wilsonalex.wilson531@example.comBrazilTraining: Dashboard Design0.5833333333333333CVeganAttendee</v>
      </c>
      <c r="J343" t="str">
        <f>IF(COUNTIF(EDA_Table[Temp ID],EDA_Table[[#This Row],[Temp ID]])&gt;1,"Duplicate","Unique")</f>
        <v>Duplicate</v>
      </c>
    </row>
    <row r="344" spans="1:10">
      <c r="A344" t="s">
        <v>265</v>
      </c>
      <c r="B344" t="s">
        <v>519</v>
      </c>
      <c r="C344" t="s">
        <v>55</v>
      </c>
      <c r="D344" t="s">
        <v>13</v>
      </c>
      <c r="E344" s="2">
        <v>0.58333333333333337</v>
      </c>
      <c r="F344" t="s">
        <v>520</v>
      </c>
      <c r="G344" t="s">
        <v>52</v>
      </c>
      <c r="H344" t="s">
        <v>39</v>
      </c>
      <c r="I34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Wilsonalex.wilson531@example.comBrazilTraining: Dashboard Design0.5833333333333333CVeganAttendee</v>
      </c>
      <c r="J344" t="str">
        <f>IF(COUNTIF(EDA_Table[Temp ID],EDA_Table[[#This Row],[Temp ID]])&gt;1,"Duplicate","Unique")</f>
        <v>Duplicate</v>
      </c>
    </row>
    <row r="345" spans="1:10">
      <c r="A345" t="s">
        <v>108</v>
      </c>
      <c r="B345" t="s">
        <v>521</v>
      </c>
      <c r="C345" t="s">
        <v>68</v>
      </c>
      <c r="D345" t="s">
        <v>71</v>
      </c>
      <c r="E345" s="2">
        <v>0.3125</v>
      </c>
      <c r="F345" t="s">
        <v>520</v>
      </c>
      <c r="H345" t="s">
        <v>39</v>
      </c>
      <c r="I34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Wilsonjamie.wilson715@example.comIndiaWebinar: AI Ethics0.31253CAttendee</v>
      </c>
      <c r="J345" t="str">
        <f>IF(COUNTIF(EDA_Table[Temp ID],EDA_Table[[#This Row],[Temp ID]])&gt;1,"Duplicate","Unique")</f>
        <v>Unique</v>
      </c>
    </row>
    <row r="346" spans="1:10">
      <c r="A346" t="s">
        <v>46</v>
      </c>
      <c r="B346" t="s">
        <v>522</v>
      </c>
      <c r="C346" t="s">
        <v>37</v>
      </c>
      <c r="D346" t="s">
        <v>19</v>
      </c>
      <c r="E346" s="2">
        <v>0.16666666666666666</v>
      </c>
      <c r="F346" t="s">
        <v>520</v>
      </c>
      <c r="G346" t="s">
        <v>19</v>
      </c>
      <c r="H346" t="s">
        <v>39</v>
      </c>
      <c r="I34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Clarkalex.clark954@example.comCanada 0.1666666666666673C Attendee</v>
      </c>
      <c r="J346" t="str">
        <f>IF(COUNTIF(EDA_Table[Temp ID],EDA_Table[[#This Row],[Temp ID]])&gt;1,"Duplicate","Unique")</f>
        <v>Duplicate</v>
      </c>
    </row>
    <row r="347" spans="1:10">
      <c r="A347" t="s">
        <v>99</v>
      </c>
      <c r="B347" t="s">
        <v>523</v>
      </c>
      <c r="C347" t="s">
        <v>55</v>
      </c>
      <c r="D347" t="s">
        <v>13</v>
      </c>
      <c r="E347" s="2">
        <v>0.22916666666666666</v>
      </c>
      <c r="F347" t="s">
        <v>520</v>
      </c>
      <c r="G347" t="s">
        <v>28</v>
      </c>
      <c r="H347" t="s">
        <v>39</v>
      </c>
      <c r="I34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Lewisdrew.lewis190@example.comBrazilTraining: Dashboard Design0.2291666666666673CKosherAttendee</v>
      </c>
      <c r="J347" t="str">
        <f>IF(COUNTIF(EDA_Table[Temp ID],EDA_Table[[#This Row],[Temp ID]])&gt;1,"Duplicate","Unique")</f>
        <v>Unique</v>
      </c>
    </row>
    <row r="348" spans="1:10">
      <c r="A348" t="s">
        <v>46</v>
      </c>
      <c r="B348" t="s">
        <v>522</v>
      </c>
      <c r="C348" t="s">
        <v>37</v>
      </c>
      <c r="D348" t="s">
        <v>19</v>
      </c>
      <c r="E348" s="2">
        <v>0.16666666666666666</v>
      </c>
      <c r="F348" t="s">
        <v>520</v>
      </c>
      <c r="G348" t="s">
        <v>19</v>
      </c>
      <c r="H348" t="s">
        <v>39</v>
      </c>
      <c r="I34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Clarkalex.clark954@example.comCanada 0.1666666666666673C Attendee</v>
      </c>
      <c r="J348" t="str">
        <f>IF(COUNTIF(EDA_Table[Temp ID],EDA_Table[[#This Row],[Temp ID]])&gt;1,"Duplicate","Unique")</f>
        <v>Duplicate</v>
      </c>
    </row>
    <row r="349" spans="1:10">
      <c r="A349" t="s">
        <v>330</v>
      </c>
      <c r="B349" t="s">
        <v>524</v>
      </c>
      <c r="C349" t="s">
        <v>68</v>
      </c>
      <c r="D349" t="s">
        <v>13</v>
      </c>
      <c r="E349" s="1">
        <v>0.5</v>
      </c>
      <c r="F349" t="s">
        <v>525</v>
      </c>
      <c r="G349" t="s">
        <v>91</v>
      </c>
      <c r="H349" t="s">
        <v>39</v>
      </c>
      <c r="I34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Walkeralex.walker560@example.comIndiaTraining: Dashboard Design0.53DHalalAttendee</v>
      </c>
      <c r="J349" t="str">
        <f>IF(COUNTIF(EDA_Table[Temp ID],EDA_Table[[#This Row],[Temp ID]])&gt;1,"Duplicate","Unique")</f>
        <v>Unique</v>
      </c>
    </row>
    <row r="350" spans="1:10">
      <c r="A350" t="s">
        <v>234</v>
      </c>
      <c r="B350" t="s">
        <v>526</v>
      </c>
      <c r="C350" t="s">
        <v>78</v>
      </c>
      <c r="D350" t="s">
        <v>45</v>
      </c>
      <c r="E350" s="2">
        <v>0.47916666666666669</v>
      </c>
      <c r="F350" t="s">
        <v>525</v>
      </c>
      <c r="G350" t="s">
        <v>31</v>
      </c>
      <c r="H350" t="s">
        <v>21</v>
      </c>
      <c r="I35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Brownjamie.brown95@example.comAustraliaKeynote: Future of Data0.4791666666666673DNoneSpeaker</v>
      </c>
      <c r="J350" t="str">
        <f>IF(COUNTIF(EDA_Table[Temp ID],EDA_Table[[#This Row],[Temp ID]])&gt;1,"Duplicate","Unique")</f>
        <v>Unique</v>
      </c>
    </row>
    <row r="351" spans="1:10">
      <c r="A351" t="s">
        <v>265</v>
      </c>
      <c r="B351" t="s">
        <v>527</v>
      </c>
      <c r="C351" t="s">
        <v>112</v>
      </c>
      <c r="D351" t="s">
        <v>79</v>
      </c>
      <c r="E351" s="2">
        <v>0.16666666666666666</v>
      </c>
      <c r="F351" t="s">
        <v>525</v>
      </c>
      <c r="G351" t="s">
        <v>15</v>
      </c>
      <c r="H351" t="s">
        <v>39</v>
      </c>
      <c r="I35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Wilsonalex.wilson48@example.comNigeriaPanel: Women in Tech0.1666666666666673DVegetarianAttendee</v>
      </c>
      <c r="J351" t="str">
        <f>IF(COUNTIF(EDA_Table[Temp ID],EDA_Table[[#This Row],[Temp ID]])&gt;1,"Duplicate","Unique")</f>
        <v>Duplicate</v>
      </c>
    </row>
    <row r="352" spans="1:10">
      <c r="A352" t="s">
        <v>265</v>
      </c>
      <c r="B352" t="s">
        <v>527</v>
      </c>
      <c r="C352" t="s">
        <v>112</v>
      </c>
      <c r="D352" t="s">
        <v>79</v>
      </c>
      <c r="E352" s="2">
        <v>0.16666666666666666</v>
      </c>
      <c r="F352" t="s">
        <v>525</v>
      </c>
      <c r="G352" t="s">
        <v>15</v>
      </c>
      <c r="H352" t="s">
        <v>39</v>
      </c>
      <c r="I35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Wilsonalex.wilson48@example.comNigeriaPanel: Women in Tech0.1666666666666673DVegetarianAttendee</v>
      </c>
      <c r="J352" t="str">
        <f>IF(COUNTIF(EDA_Table[Temp ID],EDA_Table[[#This Row],[Temp ID]])&gt;1,"Duplicate","Unique")</f>
        <v>Duplicate</v>
      </c>
    </row>
    <row r="353" spans="1:10">
      <c r="A353" t="s">
        <v>313</v>
      </c>
      <c r="B353" t="s">
        <v>528</v>
      </c>
      <c r="C353" t="s">
        <v>101</v>
      </c>
      <c r="D353" t="s">
        <v>79</v>
      </c>
      <c r="E353" s="1">
        <v>0.29166666666666669</v>
      </c>
      <c r="F353" t="s">
        <v>529</v>
      </c>
      <c r="G353" t="s">
        <v>91</v>
      </c>
      <c r="H353" t="s">
        <v>39</v>
      </c>
      <c r="I35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Browncasey.brown679@example.comJapanPanel: Women in Tech0.29166666666666740AHalalAttendee</v>
      </c>
      <c r="J353" t="str">
        <f>IF(COUNTIF(EDA_Table[Temp ID],EDA_Table[[#This Row],[Temp ID]])&gt;1,"Duplicate","Unique")</f>
        <v>Unique</v>
      </c>
    </row>
    <row r="354" spans="1:10">
      <c r="A354" t="s">
        <v>99</v>
      </c>
      <c r="B354" t="s">
        <v>530</v>
      </c>
      <c r="C354" t="s">
        <v>112</v>
      </c>
      <c r="D354" t="s">
        <v>79</v>
      </c>
      <c r="E354" s="2">
        <v>0.375</v>
      </c>
      <c r="F354" t="s">
        <v>529</v>
      </c>
      <c r="G354" t="s">
        <v>19</v>
      </c>
      <c r="H354" t="s">
        <v>39</v>
      </c>
      <c r="I35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Lewisdrew.lewis462@example.comNigeriaPanel: Women in Tech0.37540A Attendee</v>
      </c>
      <c r="J354" t="str">
        <f>IF(COUNTIF(EDA_Table[Temp ID],EDA_Table[[#This Row],[Temp ID]])&gt;1,"Duplicate","Unique")</f>
        <v>Duplicate</v>
      </c>
    </row>
    <row r="355" spans="1:10">
      <c r="A355" t="s">
        <v>207</v>
      </c>
      <c r="B355" t="s">
        <v>531</v>
      </c>
      <c r="C355" t="s">
        <v>68</v>
      </c>
      <c r="D355" t="s">
        <v>50</v>
      </c>
      <c r="E355" s="1">
        <v>4.1666666666666664E-2</v>
      </c>
      <c r="F355" t="s">
        <v>529</v>
      </c>
      <c r="G355" t="s">
        <v>28</v>
      </c>
      <c r="H355" t="s">
        <v>39</v>
      </c>
      <c r="I35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Wilsonchris.wilson826@example.comIndiaWorkshop: Excel Mastery0.041666666666666740AKosherAttendee</v>
      </c>
      <c r="J355" t="str">
        <f>IF(COUNTIF(EDA_Table[Temp ID],EDA_Table[[#This Row],[Temp ID]])&gt;1,"Duplicate","Unique")</f>
        <v>Duplicate</v>
      </c>
    </row>
    <row r="356" spans="1:10">
      <c r="A356" t="s">
        <v>207</v>
      </c>
      <c r="B356" t="s">
        <v>531</v>
      </c>
      <c r="C356" t="s">
        <v>68</v>
      </c>
      <c r="D356" t="s">
        <v>50</v>
      </c>
      <c r="E356" s="1">
        <v>4.1666666666666664E-2</v>
      </c>
      <c r="F356" t="s">
        <v>529</v>
      </c>
      <c r="G356" t="s">
        <v>28</v>
      </c>
      <c r="H356" t="s">
        <v>39</v>
      </c>
      <c r="I35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Wilsonchris.wilson826@example.comIndiaWorkshop: Excel Mastery0.041666666666666740AKosherAttendee</v>
      </c>
      <c r="J356" t="str">
        <f>IF(COUNTIF(EDA_Table[Temp ID],EDA_Table[[#This Row],[Temp ID]])&gt;1,"Duplicate","Unique")</f>
        <v>Duplicate</v>
      </c>
    </row>
    <row r="357" spans="1:10">
      <c r="A357" t="s">
        <v>393</v>
      </c>
      <c r="B357" t="s">
        <v>532</v>
      </c>
      <c r="D357" t="s">
        <v>45</v>
      </c>
      <c r="E357" s="1">
        <v>0.6875</v>
      </c>
      <c r="F357" t="s">
        <v>529</v>
      </c>
      <c r="G357" t="s">
        <v>31</v>
      </c>
      <c r="H357" t="s">
        <v>39</v>
      </c>
      <c r="I35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Halljamie.hall609@example.comKeynote: Future of Data0.687540ANoneAttendee</v>
      </c>
      <c r="J357" t="str">
        <f>IF(COUNTIF(EDA_Table[Temp ID],EDA_Table[[#This Row],[Temp ID]])&gt;1,"Duplicate","Unique")</f>
        <v>Unique</v>
      </c>
    </row>
    <row r="358" spans="1:10">
      <c r="A358" t="s">
        <v>99</v>
      </c>
      <c r="B358" t="s">
        <v>530</v>
      </c>
      <c r="C358" t="s">
        <v>112</v>
      </c>
      <c r="D358" t="s">
        <v>79</v>
      </c>
      <c r="E358" s="2">
        <v>0.375</v>
      </c>
      <c r="F358" t="s">
        <v>529</v>
      </c>
      <c r="G358" t="s">
        <v>19</v>
      </c>
      <c r="H358" t="s">
        <v>39</v>
      </c>
      <c r="I35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Lewisdrew.lewis462@example.comNigeriaPanel: Women in Tech0.37540A Attendee</v>
      </c>
      <c r="J358" t="str">
        <f>IF(COUNTIF(EDA_Table[Temp ID],EDA_Table[[#This Row],[Temp ID]])&gt;1,"Duplicate","Unique")</f>
        <v>Duplicate</v>
      </c>
    </row>
    <row r="359" spans="1:10">
      <c r="A359" t="s">
        <v>255</v>
      </c>
      <c r="B359" t="s">
        <v>533</v>
      </c>
      <c r="C359" t="s">
        <v>19</v>
      </c>
      <c r="E359" s="2">
        <v>0.14583333333333334</v>
      </c>
      <c r="F359" t="s">
        <v>534</v>
      </c>
      <c r="G359" t="s">
        <v>15</v>
      </c>
      <c r="H359" t="s">
        <v>39</v>
      </c>
      <c r="I35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Walkertaylor.walker144@example.com 0.14583333333333340BVegetarianAttendee</v>
      </c>
      <c r="J359" t="str">
        <f>IF(COUNTIF(EDA_Table[Temp ID],EDA_Table[[#This Row],[Temp ID]])&gt;1,"Duplicate","Unique")</f>
        <v>Unique</v>
      </c>
    </row>
    <row r="360" spans="1:10">
      <c r="A360" t="s">
        <v>180</v>
      </c>
      <c r="B360" t="s">
        <v>535</v>
      </c>
      <c r="C360" t="s">
        <v>96</v>
      </c>
      <c r="D360" t="s">
        <v>45</v>
      </c>
      <c r="E360" s="1">
        <v>0.10416666666666667</v>
      </c>
      <c r="F360" t="s">
        <v>534</v>
      </c>
      <c r="G360" t="s">
        <v>19</v>
      </c>
      <c r="H360" t="s">
        <v>39</v>
      </c>
      <c r="I36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Allentaylor.allen972@example.comUnited KingdomKeynote: Future of Data0.10416666666666740B Attendee</v>
      </c>
      <c r="J360" t="str">
        <f>IF(COUNTIF(EDA_Table[Temp ID],EDA_Table[[#This Row],[Temp ID]])&gt;1,"Duplicate","Unique")</f>
        <v>Unique</v>
      </c>
    </row>
    <row r="361" spans="1:10">
      <c r="A361" t="s">
        <v>536</v>
      </c>
      <c r="B361" t="s">
        <v>537</v>
      </c>
      <c r="C361" t="s">
        <v>101</v>
      </c>
      <c r="D361" t="s">
        <v>19</v>
      </c>
      <c r="E361" s="1">
        <v>0.47916666666666669</v>
      </c>
      <c r="F361" t="s">
        <v>534</v>
      </c>
      <c r="G361" t="s">
        <v>31</v>
      </c>
      <c r="H361" t="s">
        <v>39</v>
      </c>
      <c r="I36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Brownchris.brown520@example.comJapan 0.47916666666666740BNoneAttendee</v>
      </c>
      <c r="J361" t="str">
        <f>IF(COUNTIF(EDA_Table[Temp ID],EDA_Table[[#This Row],[Temp ID]])&gt;1,"Duplicate","Unique")</f>
        <v>Unique</v>
      </c>
    </row>
    <row r="362" spans="1:10">
      <c r="A362" t="s">
        <v>250</v>
      </c>
      <c r="B362" t="s">
        <v>538</v>
      </c>
      <c r="C362" t="s">
        <v>12</v>
      </c>
      <c r="D362" t="s">
        <v>50</v>
      </c>
      <c r="E362" s="1">
        <v>0.5625</v>
      </c>
      <c r="F362" t="s">
        <v>534</v>
      </c>
      <c r="G362" t="s">
        <v>19</v>
      </c>
      <c r="H362" t="s">
        <v>39</v>
      </c>
      <c r="I36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Smithriley.smith93@example.comUnited StatesWorkshop: Excel Mastery0.562540B Attendee</v>
      </c>
      <c r="J362" t="str">
        <f>IF(COUNTIF(EDA_Table[Temp ID],EDA_Table[[#This Row],[Temp ID]])&gt;1,"Duplicate","Unique")</f>
        <v>Unique</v>
      </c>
    </row>
    <row r="363" spans="1:10">
      <c r="A363" t="s">
        <v>419</v>
      </c>
      <c r="B363" t="s">
        <v>539</v>
      </c>
      <c r="C363" t="s">
        <v>27</v>
      </c>
      <c r="D363" t="s">
        <v>45</v>
      </c>
      <c r="E363" s="1">
        <v>0.4375</v>
      </c>
      <c r="F363" t="s">
        <v>534</v>
      </c>
      <c r="H363" t="s">
        <v>39</v>
      </c>
      <c r="I36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Allenalex.allen401@example.comFranceKeynote: Future of Data0.437540BAttendee</v>
      </c>
      <c r="J363" t="str">
        <f>IF(COUNTIF(EDA_Table[Temp ID],EDA_Table[[#This Row],[Temp ID]])&gt;1,"Duplicate","Unique")</f>
        <v>Unique</v>
      </c>
    </row>
    <row r="364" spans="1:10">
      <c r="A364" t="s">
        <v>22</v>
      </c>
      <c r="B364" t="s">
        <v>540</v>
      </c>
      <c r="C364" t="s">
        <v>101</v>
      </c>
      <c r="E364" s="2">
        <v>0.16666666666666666</v>
      </c>
      <c r="F364" t="s">
        <v>534</v>
      </c>
      <c r="G364" t="s">
        <v>15</v>
      </c>
      <c r="H364" t="s">
        <v>39</v>
      </c>
      <c r="I36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Hallmorgan.hall278@example.comJapan0.16666666666666740BVegetarianAttendee</v>
      </c>
      <c r="J364" t="str">
        <f>IF(COUNTIF(EDA_Table[Temp ID],EDA_Table[[#This Row],[Temp ID]])&gt;1,"Duplicate","Unique")</f>
        <v>Unique</v>
      </c>
    </row>
    <row r="365" spans="1:10">
      <c r="A365" t="s">
        <v>257</v>
      </c>
      <c r="B365" t="s">
        <v>541</v>
      </c>
      <c r="C365" t="s">
        <v>112</v>
      </c>
      <c r="D365" t="s">
        <v>50</v>
      </c>
      <c r="E365" s="1">
        <v>0.77083333333333337</v>
      </c>
      <c r="F365" t="s">
        <v>542</v>
      </c>
      <c r="G365" t="s">
        <v>31</v>
      </c>
      <c r="H365" t="s">
        <v>39</v>
      </c>
      <c r="I36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Walkerjamie.walker532@example.comNigeriaWorkshop: Excel Mastery0.77083333333333340CNoneAttendee</v>
      </c>
      <c r="J365" t="str">
        <f>IF(COUNTIF(EDA_Table[Temp ID],EDA_Table[[#This Row],[Temp ID]])&gt;1,"Duplicate","Unique")</f>
        <v>Unique</v>
      </c>
    </row>
    <row r="366" spans="1:10">
      <c r="A366" t="s">
        <v>173</v>
      </c>
      <c r="B366" t="s">
        <v>543</v>
      </c>
      <c r="D366" t="s">
        <v>79</v>
      </c>
      <c r="E366" s="1">
        <v>0.95833333333333337</v>
      </c>
      <c r="F366" t="s">
        <v>542</v>
      </c>
      <c r="G366" t="s">
        <v>31</v>
      </c>
      <c r="H366" t="s">
        <v>39</v>
      </c>
      <c r="I36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Allenchris.allen391@example.comPanel: Women in Tech0.95833333333333340CNoneAttendee</v>
      </c>
      <c r="J366" t="str">
        <f>IF(COUNTIF(EDA_Table[Temp ID],EDA_Table[[#This Row],[Temp ID]])&gt;1,"Duplicate","Unique")</f>
        <v>Unique</v>
      </c>
    </row>
    <row r="367" spans="1:10">
      <c r="A367" t="s">
        <v>173</v>
      </c>
      <c r="B367" t="s">
        <v>544</v>
      </c>
      <c r="C367" t="s">
        <v>37</v>
      </c>
      <c r="D367" t="s">
        <v>71</v>
      </c>
      <c r="E367" s="1">
        <v>0.91666666666666663</v>
      </c>
      <c r="F367" t="s">
        <v>542</v>
      </c>
      <c r="G367" t="s">
        <v>19</v>
      </c>
      <c r="H367" t="s">
        <v>39</v>
      </c>
      <c r="I36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Allenchris.allen547@example.comCanadaWebinar: AI Ethics0.91666666666666740C Attendee</v>
      </c>
      <c r="J367" t="str">
        <f>IF(COUNTIF(EDA_Table[Temp ID],EDA_Table[[#This Row],[Temp ID]])&gt;1,"Duplicate","Unique")</f>
        <v>Unique</v>
      </c>
    </row>
    <row r="368" spans="1:10">
      <c r="A368" t="s">
        <v>40</v>
      </c>
      <c r="B368" t="s">
        <v>545</v>
      </c>
      <c r="C368" t="s">
        <v>19</v>
      </c>
      <c r="D368" t="s">
        <v>50</v>
      </c>
      <c r="E368" s="2">
        <v>0.54166666666666663</v>
      </c>
      <c r="F368" t="s">
        <v>542</v>
      </c>
      <c r="G368" t="s">
        <v>15</v>
      </c>
      <c r="H368" t="s">
        <v>39</v>
      </c>
      <c r="I36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Allendrew.allen248@example.com Workshop: Excel Mastery0.54166666666666740CVegetarianAttendee</v>
      </c>
      <c r="J368" t="str">
        <f>IF(COUNTIF(EDA_Table[Temp ID],EDA_Table[[#This Row],[Temp ID]])&gt;1,"Duplicate","Unique")</f>
        <v>Unique</v>
      </c>
    </row>
    <row r="369" spans="1:10">
      <c r="A369" t="s">
        <v>29</v>
      </c>
      <c r="B369" t="s">
        <v>546</v>
      </c>
      <c r="C369" t="s">
        <v>68</v>
      </c>
      <c r="D369" t="s">
        <v>13</v>
      </c>
      <c r="E369" s="2">
        <v>0.875</v>
      </c>
      <c r="F369" t="s">
        <v>542</v>
      </c>
      <c r="G369" t="s">
        <v>28</v>
      </c>
      <c r="H369" t="s">
        <v>39</v>
      </c>
      <c r="I36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Hallchris.hall131@example.comIndiaTraining: Dashboard Design0.87540CKosherAttendee</v>
      </c>
      <c r="J369" t="str">
        <f>IF(COUNTIF(EDA_Table[Temp ID],EDA_Table[[#This Row],[Temp ID]])&gt;1,"Duplicate","Unique")</f>
        <v>Unique</v>
      </c>
    </row>
    <row r="370" spans="1:10">
      <c r="A370" t="s">
        <v>173</v>
      </c>
      <c r="B370" t="s">
        <v>547</v>
      </c>
      <c r="C370" t="s">
        <v>68</v>
      </c>
      <c r="D370" t="s">
        <v>79</v>
      </c>
      <c r="E370" s="2">
        <v>0.60416666666666663</v>
      </c>
      <c r="F370" t="s">
        <v>542</v>
      </c>
      <c r="H370" t="s">
        <v>39</v>
      </c>
      <c r="I37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Allenchris.allen72@example.comIndiaPanel: Women in Tech0.60416666666666740CAttendee</v>
      </c>
      <c r="J370" t="str">
        <f>IF(COUNTIF(EDA_Table[Temp ID],EDA_Table[[#This Row],[Temp ID]])&gt;1,"Duplicate","Unique")</f>
        <v>Unique</v>
      </c>
    </row>
    <row r="371" spans="1:10">
      <c r="A371" t="s">
        <v>234</v>
      </c>
      <c r="B371" t="s">
        <v>548</v>
      </c>
      <c r="C371" t="s">
        <v>37</v>
      </c>
      <c r="D371" t="s">
        <v>19</v>
      </c>
      <c r="E371" s="1">
        <v>0.1875</v>
      </c>
      <c r="F371" t="s">
        <v>549</v>
      </c>
      <c r="G371" t="s">
        <v>15</v>
      </c>
      <c r="H371" t="s">
        <v>39</v>
      </c>
      <c r="I37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Brownjamie.brown450@example.comCanada 0.187540DVegetarianAttendee</v>
      </c>
      <c r="J371" t="str">
        <f>IF(COUNTIF(EDA_Table[Temp ID],EDA_Table[[#This Row],[Temp ID]])&gt;1,"Duplicate","Unique")</f>
        <v>Unique</v>
      </c>
    </row>
    <row r="372" spans="1:10">
      <c r="A372" t="s">
        <v>133</v>
      </c>
      <c r="B372" t="s">
        <v>550</v>
      </c>
      <c r="C372" t="s">
        <v>12</v>
      </c>
      <c r="D372" t="s">
        <v>79</v>
      </c>
      <c r="E372" s="2">
        <v>8.3333333333333329E-2</v>
      </c>
      <c r="F372" t="s">
        <v>549</v>
      </c>
      <c r="G372" t="s">
        <v>28</v>
      </c>
      <c r="H372" t="s">
        <v>39</v>
      </c>
      <c r="I37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Walkerriley.walker39@example.comUnited StatesPanel: Women in Tech0.083333333333333340DKosherAttendee</v>
      </c>
      <c r="J372" t="str">
        <f>IF(COUNTIF(EDA_Table[Temp ID],EDA_Table[[#This Row],[Temp ID]])&gt;1,"Duplicate","Unique")</f>
        <v>Unique</v>
      </c>
    </row>
    <row r="373" spans="1:10">
      <c r="A373" t="s">
        <v>255</v>
      </c>
      <c r="B373" t="s">
        <v>551</v>
      </c>
      <c r="C373" t="s">
        <v>101</v>
      </c>
      <c r="D373" t="s">
        <v>79</v>
      </c>
      <c r="E373" s="2">
        <v>0.89583333333333337</v>
      </c>
      <c r="F373" t="s">
        <v>549</v>
      </c>
      <c r="G373" t="s">
        <v>15</v>
      </c>
      <c r="H373" t="s">
        <v>39</v>
      </c>
      <c r="I37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Walkertaylor.walker935@example.comJapanPanel: Women in Tech0.89583333333333340DVegetarianAttendee</v>
      </c>
      <c r="J373" t="str">
        <f>IF(COUNTIF(EDA_Table[Temp ID],EDA_Table[[#This Row],[Temp ID]])&gt;1,"Duplicate","Unique")</f>
        <v>Unique</v>
      </c>
    </row>
    <row r="374" spans="1:10">
      <c r="A374" t="s">
        <v>288</v>
      </c>
      <c r="B374" t="s">
        <v>552</v>
      </c>
      <c r="C374" t="s">
        <v>112</v>
      </c>
      <c r="D374" t="s">
        <v>45</v>
      </c>
      <c r="E374" s="1">
        <v>0.8125</v>
      </c>
      <c r="F374" t="s">
        <v>553</v>
      </c>
      <c r="G374" t="s">
        <v>15</v>
      </c>
      <c r="H374" t="s">
        <v>39</v>
      </c>
      <c r="I37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Johnsonalex.johnson964@example.comNigeriaKeynote: Future of Data0.812541AVegetarianAttendee</v>
      </c>
      <c r="J374" t="str">
        <f>IF(COUNTIF(EDA_Table[Temp ID],EDA_Table[[#This Row],[Temp ID]])&gt;1,"Duplicate","Unique")</f>
        <v>Duplicate</v>
      </c>
    </row>
    <row r="375" spans="1:10">
      <c r="A375" t="s">
        <v>108</v>
      </c>
      <c r="B375" t="s">
        <v>554</v>
      </c>
      <c r="C375" t="s">
        <v>68</v>
      </c>
      <c r="D375" t="s">
        <v>71</v>
      </c>
      <c r="E375" s="2">
        <v>0.875</v>
      </c>
      <c r="F375" t="s">
        <v>553</v>
      </c>
      <c r="H375" t="s">
        <v>39</v>
      </c>
      <c r="I37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Wilsonjamie.wilson652@example.comIndiaWebinar: AI Ethics0.87541AAttendee</v>
      </c>
      <c r="J375" t="str">
        <f>IF(COUNTIF(EDA_Table[Temp ID],EDA_Table[[#This Row],[Temp ID]])&gt;1,"Duplicate","Unique")</f>
        <v>Unique</v>
      </c>
    </row>
    <row r="376" spans="1:10">
      <c r="A376" t="s">
        <v>288</v>
      </c>
      <c r="B376" t="s">
        <v>552</v>
      </c>
      <c r="C376" t="s">
        <v>112</v>
      </c>
      <c r="D376" t="s">
        <v>45</v>
      </c>
      <c r="E376" s="1">
        <v>0.8125</v>
      </c>
      <c r="F376" t="s">
        <v>553</v>
      </c>
      <c r="G376" t="s">
        <v>15</v>
      </c>
      <c r="H376" t="s">
        <v>39</v>
      </c>
      <c r="I37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Johnsonalex.johnson964@example.comNigeriaKeynote: Future of Data0.812541AVegetarianAttendee</v>
      </c>
      <c r="J376" t="str">
        <f>IF(COUNTIF(EDA_Table[Temp ID],EDA_Table[[#This Row],[Temp ID]])&gt;1,"Duplicate","Unique")</f>
        <v>Duplicate</v>
      </c>
    </row>
    <row r="377" spans="1:10">
      <c r="A377" t="s">
        <v>133</v>
      </c>
      <c r="B377" t="s">
        <v>555</v>
      </c>
      <c r="C377" t="s">
        <v>68</v>
      </c>
      <c r="D377" t="s">
        <v>19</v>
      </c>
      <c r="E377" s="2">
        <v>0.6875</v>
      </c>
      <c r="F377" t="s">
        <v>556</v>
      </c>
      <c r="G377" t="s">
        <v>91</v>
      </c>
      <c r="H377" t="s">
        <v>39</v>
      </c>
      <c r="I37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Walkerriley.walker266@example.comIndia 0.687541BHalalAttendee</v>
      </c>
      <c r="J377" t="str">
        <f>IF(COUNTIF(EDA_Table[Temp ID],EDA_Table[[#This Row],[Temp ID]])&gt;1,"Duplicate","Unique")</f>
        <v>Unique</v>
      </c>
    </row>
    <row r="378" spans="1:10">
      <c r="A378" t="s">
        <v>35</v>
      </c>
      <c r="B378" t="s">
        <v>557</v>
      </c>
      <c r="C378" t="s">
        <v>34</v>
      </c>
      <c r="E378" s="2">
        <v>0.72916666666666663</v>
      </c>
      <c r="F378" t="s">
        <v>556</v>
      </c>
      <c r="G378" t="s">
        <v>91</v>
      </c>
      <c r="H378" t="s">
        <v>39</v>
      </c>
      <c r="I37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Halltaylor.hall226@example.comGermany0.72916666666666741BHalalAttendee</v>
      </c>
      <c r="J378" t="str">
        <f>IF(COUNTIF(EDA_Table[Temp ID],EDA_Table[[#This Row],[Temp ID]])&gt;1,"Duplicate","Unique")</f>
        <v>Duplicate</v>
      </c>
    </row>
    <row r="379" spans="1:10">
      <c r="A379" t="s">
        <v>35</v>
      </c>
      <c r="B379" t="s">
        <v>557</v>
      </c>
      <c r="C379" t="s">
        <v>34</v>
      </c>
      <c r="E379" s="2">
        <v>0.72916666666666663</v>
      </c>
      <c r="F379" t="s">
        <v>556</v>
      </c>
      <c r="G379" t="s">
        <v>91</v>
      </c>
      <c r="H379" t="s">
        <v>39</v>
      </c>
      <c r="I37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Halltaylor.hall226@example.comGermany0.72916666666666741BHalalAttendee</v>
      </c>
      <c r="J379" t="str">
        <f>IF(COUNTIF(EDA_Table[Temp ID],EDA_Table[[#This Row],[Temp ID]])&gt;1,"Duplicate","Unique")</f>
        <v>Duplicate</v>
      </c>
    </row>
    <row r="380" spans="1:10">
      <c r="A380" t="s">
        <v>133</v>
      </c>
      <c r="B380" t="s">
        <v>558</v>
      </c>
      <c r="C380" t="s">
        <v>27</v>
      </c>
      <c r="D380" t="s">
        <v>19</v>
      </c>
      <c r="E380" s="2">
        <v>0.89583333333333337</v>
      </c>
      <c r="F380" t="s">
        <v>559</v>
      </c>
      <c r="G380" t="s">
        <v>15</v>
      </c>
      <c r="H380" t="s">
        <v>39</v>
      </c>
      <c r="I38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Walkerriley.walker773@example.comFrance 0.89583333333333341CVegetarianAttendee</v>
      </c>
      <c r="J380" t="str">
        <f>IF(COUNTIF(EDA_Table[Temp ID],EDA_Table[[#This Row],[Temp ID]])&gt;1,"Duplicate","Unique")</f>
        <v>Duplicate</v>
      </c>
    </row>
    <row r="381" spans="1:10">
      <c r="A381" t="s">
        <v>133</v>
      </c>
      <c r="B381" t="s">
        <v>558</v>
      </c>
      <c r="C381" t="s">
        <v>27</v>
      </c>
      <c r="D381" t="s">
        <v>19</v>
      </c>
      <c r="E381" s="2">
        <v>0.89583333333333337</v>
      </c>
      <c r="F381" t="s">
        <v>559</v>
      </c>
      <c r="G381" t="s">
        <v>15</v>
      </c>
      <c r="H381" t="s">
        <v>39</v>
      </c>
      <c r="I38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Walkerriley.walker773@example.comFrance 0.89583333333333341CVegetarianAttendee</v>
      </c>
      <c r="J381" t="str">
        <f>IF(COUNTIF(EDA_Table[Temp ID],EDA_Table[[#This Row],[Temp ID]])&gt;1,"Duplicate","Unique")</f>
        <v>Duplicate</v>
      </c>
    </row>
    <row r="382" spans="1:10">
      <c r="A382" t="s">
        <v>127</v>
      </c>
      <c r="B382" t="s">
        <v>560</v>
      </c>
      <c r="C382" t="s">
        <v>12</v>
      </c>
      <c r="D382" t="s">
        <v>71</v>
      </c>
      <c r="E382" s="1">
        <v>0.25</v>
      </c>
      <c r="F382" t="s">
        <v>561</v>
      </c>
      <c r="H382" t="s">
        <v>39</v>
      </c>
      <c r="I38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Lewiscasey.lewis755@example.comUnited StatesWebinar: AI Ethics0.2541DAttendee</v>
      </c>
      <c r="J382" t="str">
        <f>IF(COUNTIF(EDA_Table[Temp ID],EDA_Table[[#This Row],[Temp ID]])&gt;1,"Duplicate","Unique")</f>
        <v>Unique</v>
      </c>
    </row>
    <row r="383" spans="1:10">
      <c r="A383" t="s">
        <v>242</v>
      </c>
      <c r="B383" t="s">
        <v>562</v>
      </c>
      <c r="C383" t="s">
        <v>12</v>
      </c>
      <c r="D383" t="s">
        <v>19</v>
      </c>
      <c r="E383" s="2">
        <v>0.6875</v>
      </c>
      <c r="F383" t="s">
        <v>561</v>
      </c>
      <c r="G383" t="s">
        <v>28</v>
      </c>
      <c r="H383" t="s">
        <v>39</v>
      </c>
      <c r="I38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Smithmorgan.smith945@example.comUnited States 0.687541DKosherAttendee</v>
      </c>
      <c r="J383" t="str">
        <f>IF(COUNTIF(EDA_Table[Temp ID],EDA_Table[[#This Row],[Temp ID]])&gt;1,"Duplicate","Unique")</f>
        <v>Unique</v>
      </c>
    </row>
    <row r="384" spans="1:10">
      <c r="A384" t="s">
        <v>64</v>
      </c>
      <c r="B384" t="s">
        <v>563</v>
      </c>
      <c r="D384" t="s">
        <v>79</v>
      </c>
      <c r="E384" s="1">
        <v>0.41666666666666669</v>
      </c>
      <c r="F384" t="s">
        <v>564</v>
      </c>
      <c r="G384" t="s">
        <v>52</v>
      </c>
      <c r="H384" t="s">
        <v>39</v>
      </c>
      <c r="I38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Smithjamie.smith385@example.comPanel: Women in Tech0.41666666666666742AVeganAttendee</v>
      </c>
      <c r="J384" t="str">
        <f>IF(COUNTIF(EDA_Table[Temp ID],EDA_Table[[#This Row],[Temp ID]])&gt;1,"Duplicate","Unique")</f>
        <v>Unique</v>
      </c>
    </row>
    <row r="385" spans="1:10">
      <c r="A385" t="s">
        <v>205</v>
      </c>
      <c r="B385" t="s">
        <v>565</v>
      </c>
      <c r="C385" t="s">
        <v>19</v>
      </c>
      <c r="D385" t="s">
        <v>79</v>
      </c>
      <c r="E385" s="1">
        <v>0.8125</v>
      </c>
      <c r="F385" t="s">
        <v>564</v>
      </c>
      <c r="G385" t="s">
        <v>31</v>
      </c>
      <c r="H385" t="s">
        <v>39</v>
      </c>
      <c r="I38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Johnsondrew.johnson855@example.com Panel: Women in Tech0.812542ANoneAttendee</v>
      </c>
      <c r="J385" t="str">
        <f>IF(COUNTIF(EDA_Table[Temp ID],EDA_Table[[#This Row],[Temp ID]])&gt;1,"Duplicate","Unique")</f>
        <v>Duplicate</v>
      </c>
    </row>
    <row r="386" spans="1:10">
      <c r="A386" t="s">
        <v>190</v>
      </c>
      <c r="B386" t="s">
        <v>566</v>
      </c>
      <c r="C386" t="s">
        <v>37</v>
      </c>
      <c r="D386" t="s">
        <v>19</v>
      </c>
      <c r="E386" s="2">
        <v>8.3333333333333329E-2</v>
      </c>
      <c r="F386" t="s">
        <v>564</v>
      </c>
      <c r="G386" t="s">
        <v>52</v>
      </c>
      <c r="H386" t="s">
        <v>39</v>
      </c>
      <c r="I38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Johnsoncasey.johnson195@example.comCanada 0.083333333333333342AVeganAttendee</v>
      </c>
      <c r="J386" t="str">
        <f>IF(COUNTIF(EDA_Table[Temp ID],EDA_Table[[#This Row],[Temp ID]])&gt;1,"Duplicate","Unique")</f>
        <v>Unique</v>
      </c>
    </row>
    <row r="387" spans="1:10">
      <c r="A387" t="s">
        <v>117</v>
      </c>
      <c r="B387" t="s">
        <v>567</v>
      </c>
      <c r="C387" t="s">
        <v>34</v>
      </c>
      <c r="D387" t="s">
        <v>79</v>
      </c>
      <c r="E387" s="1">
        <v>0.125</v>
      </c>
      <c r="F387" t="s">
        <v>564</v>
      </c>
      <c r="G387" t="s">
        <v>15</v>
      </c>
      <c r="H387" t="s">
        <v>39</v>
      </c>
      <c r="I38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Wilsontaylor.wilson106@example.comGermanyPanel: Women in Tech0.12542AVegetarianAttendee</v>
      </c>
      <c r="J387" t="str">
        <f>IF(COUNTIF(EDA_Table[Temp ID],EDA_Table[[#This Row],[Temp ID]])&gt;1,"Duplicate","Unique")</f>
        <v>Unique</v>
      </c>
    </row>
    <row r="388" spans="1:10">
      <c r="A388" t="s">
        <v>205</v>
      </c>
      <c r="B388" t="s">
        <v>565</v>
      </c>
      <c r="C388" t="s">
        <v>19</v>
      </c>
      <c r="D388" t="s">
        <v>79</v>
      </c>
      <c r="E388" s="1">
        <v>0.8125</v>
      </c>
      <c r="F388" t="s">
        <v>564</v>
      </c>
      <c r="G388" t="s">
        <v>31</v>
      </c>
      <c r="H388" t="s">
        <v>39</v>
      </c>
      <c r="I38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Johnsondrew.johnson855@example.com Panel: Women in Tech0.812542ANoneAttendee</v>
      </c>
      <c r="J388" t="str">
        <f>IF(COUNTIF(EDA_Table[Temp ID],EDA_Table[[#This Row],[Temp ID]])&gt;1,"Duplicate","Unique")</f>
        <v>Duplicate</v>
      </c>
    </row>
    <row r="389" spans="1:10">
      <c r="A389" t="s">
        <v>211</v>
      </c>
      <c r="B389" t="s">
        <v>568</v>
      </c>
      <c r="D389" t="s">
        <v>71</v>
      </c>
      <c r="E389" s="1">
        <v>0.29166666666666669</v>
      </c>
      <c r="F389" t="s">
        <v>569</v>
      </c>
      <c r="G389" t="s">
        <v>91</v>
      </c>
      <c r="H389" t="s">
        <v>39</v>
      </c>
      <c r="I38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Johnsonmorgan.johnson807@example.comWebinar: AI Ethics0.29166666666666742BHalalAttendee</v>
      </c>
      <c r="J389" t="str">
        <f>IF(COUNTIF(EDA_Table[Temp ID],EDA_Table[[#This Row],[Temp ID]])&gt;1,"Duplicate","Unique")</f>
        <v>Duplicate</v>
      </c>
    </row>
    <row r="390" spans="1:10">
      <c r="A390" t="s">
        <v>536</v>
      </c>
      <c r="B390" t="s">
        <v>570</v>
      </c>
      <c r="C390" t="s">
        <v>12</v>
      </c>
      <c r="D390" t="s">
        <v>13</v>
      </c>
      <c r="E390" s="1">
        <v>0.125</v>
      </c>
      <c r="F390" t="s">
        <v>569</v>
      </c>
      <c r="H390" t="s">
        <v>39</v>
      </c>
      <c r="I39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Brownchris.brown292@example.comUnited StatesTraining: Dashboard Design0.12542BAttendee</v>
      </c>
      <c r="J390" t="str">
        <f>IF(COUNTIF(EDA_Table[Temp ID],EDA_Table[[#This Row],[Temp ID]])&gt;1,"Duplicate","Unique")</f>
        <v>Unique</v>
      </c>
    </row>
    <row r="391" spans="1:10">
      <c r="A391" t="s">
        <v>211</v>
      </c>
      <c r="B391" t="s">
        <v>568</v>
      </c>
      <c r="D391" t="s">
        <v>71</v>
      </c>
      <c r="E391" s="1">
        <v>0.29166666666666669</v>
      </c>
      <c r="F391" t="s">
        <v>569</v>
      </c>
      <c r="G391" t="s">
        <v>91</v>
      </c>
      <c r="H391" t="s">
        <v>39</v>
      </c>
      <c r="I39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Johnsonmorgan.johnson807@example.comWebinar: AI Ethics0.29166666666666742BHalalAttendee</v>
      </c>
      <c r="J391" t="str">
        <f>IF(COUNTIF(EDA_Table[Temp ID],EDA_Table[[#This Row],[Temp ID]])&gt;1,"Duplicate","Unique")</f>
        <v>Duplicate</v>
      </c>
    </row>
    <row r="392" spans="1:10">
      <c r="A392" t="s">
        <v>571</v>
      </c>
      <c r="B392" t="s">
        <v>572</v>
      </c>
      <c r="C392" t="s">
        <v>101</v>
      </c>
      <c r="D392" t="s">
        <v>13</v>
      </c>
      <c r="E392" s="1">
        <v>0.5</v>
      </c>
      <c r="F392" t="s">
        <v>569</v>
      </c>
      <c r="G392" t="s">
        <v>52</v>
      </c>
      <c r="H392" t="s">
        <v>39</v>
      </c>
      <c r="I39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Walkerjordan.walker103@example.comJapanTraining: Dashboard Design0.542BVeganAttendee</v>
      </c>
      <c r="J392" t="str">
        <f>IF(COUNTIF(EDA_Table[Temp ID],EDA_Table[[#This Row],[Temp ID]])&gt;1,"Duplicate","Unique")</f>
        <v>Unique</v>
      </c>
    </row>
    <row r="393" spans="1:10">
      <c r="A393" t="s">
        <v>234</v>
      </c>
      <c r="B393" t="s">
        <v>573</v>
      </c>
      <c r="C393" t="s">
        <v>27</v>
      </c>
      <c r="D393" t="s">
        <v>79</v>
      </c>
      <c r="E393" s="1">
        <v>0.9375</v>
      </c>
      <c r="F393" t="s">
        <v>569</v>
      </c>
      <c r="H393" t="s">
        <v>39</v>
      </c>
      <c r="I39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Brownjamie.brown427@example.comFrancePanel: Women in Tech0.937542BAttendee</v>
      </c>
      <c r="J393" t="str">
        <f>IF(COUNTIF(EDA_Table[Temp ID],EDA_Table[[#This Row],[Temp ID]])&gt;1,"Duplicate","Unique")</f>
        <v>Unique</v>
      </c>
    </row>
    <row r="394" spans="1:10">
      <c r="A394" t="s">
        <v>76</v>
      </c>
      <c r="B394" t="s">
        <v>574</v>
      </c>
      <c r="C394" t="s">
        <v>34</v>
      </c>
      <c r="E394" s="2">
        <v>0.85416666666666663</v>
      </c>
      <c r="F394" t="s">
        <v>575</v>
      </c>
      <c r="G394" t="s">
        <v>15</v>
      </c>
      <c r="H394" t="s">
        <v>39</v>
      </c>
      <c r="I39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Clarkchris.clark140@example.comGermany0.85416666666666742CVegetarianAttendee</v>
      </c>
      <c r="J394" t="str">
        <f>IF(COUNTIF(EDA_Table[Temp ID],EDA_Table[[#This Row],[Temp ID]])&gt;1,"Duplicate","Unique")</f>
        <v>Duplicate</v>
      </c>
    </row>
    <row r="395" spans="1:10">
      <c r="A395" t="s">
        <v>322</v>
      </c>
      <c r="B395" t="s">
        <v>576</v>
      </c>
      <c r="C395" t="s">
        <v>68</v>
      </c>
      <c r="D395" t="s">
        <v>19</v>
      </c>
      <c r="E395" s="1">
        <v>0.25</v>
      </c>
      <c r="F395" t="s">
        <v>575</v>
      </c>
      <c r="H395" t="s">
        <v>39</v>
      </c>
      <c r="I39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Walkerdrew.walker280@example.comIndia 0.2542CAttendee</v>
      </c>
      <c r="J395" t="str">
        <f>IF(COUNTIF(EDA_Table[Temp ID],EDA_Table[[#This Row],[Temp ID]])&gt;1,"Duplicate","Unique")</f>
        <v>Duplicate</v>
      </c>
    </row>
    <row r="396" spans="1:10">
      <c r="A396" t="s">
        <v>322</v>
      </c>
      <c r="B396" t="s">
        <v>576</v>
      </c>
      <c r="C396" t="s">
        <v>68</v>
      </c>
      <c r="D396" t="s">
        <v>19</v>
      </c>
      <c r="E396" s="1">
        <v>0.25</v>
      </c>
      <c r="F396" t="s">
        <v>575</v>
      </c>
      <c r="H396" t="s">
        <v>39</v>
      </c>
      <c r="I39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Walkerdrew.walker280@example.comIndia 0.2542CAttendee</v>
      </c>
      <c r="J396" t="str">
        <f>IF(COUNTIF(EDA_Table[Temp ID],EDA_Table[[#This Row],[Temp ID]])&gt;1,"Duplicate","Unique")</f>
        <v>Duplicate</v>
      </c>
    </row>
    <row r="397" spans="1:10">
      <c r="A397" t="s">
        <v>76</v>
      </c>
      <c r="B397" t="s">
        <v>574</v>
      </c>
      <c r="C397" t="s">
        <v>34</v>
      </c>
      <c r="E397" s="2">
        <v>0.85416666666666663</v>
      </c>
      <c r="F397" t="s">
        <v>575</v>
      </c>
      <c r="G397" t="s">
        <v>15</v>
      </c>
      <c r="H397" t="s">
        <v>39</v>
      </c>
      <c r="I39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Clarkchris.clark140@example.comGermany0.85416666666666742CVegetarianAttendee</v>
      </c>
      <c r="J397" t="str">
        <f>IF(COUNTIF(EDA_Table[Temp ID],EDA_Table[[#This Row],[Temp ID]])&gt;1,"Duplicate","Unique")</f>
        <v>Duplicate</v>
      </c>
    </row>
    <row r="398" spans="1:10">
      <c r="A398" t="s">
        <v>138</v>
      </c>
      <c r="B398" t="s">
        <v>577</v>
      </c>
      <c r="C398" t="s">
        <v>101</v>
      </c>
      <c r="D398" t="s">
        <v>13</v>
      </c>
      <c r="E398" s="2">
        <v>0.16666666666666666</v>
      </c>
      <c r="F398" t="s">
        <v>578</v>
      </c>
      <c r="G398" t="s">
        <v>31</v>
      </c>
      <c r="H398" t="s">
        <v>39</v>
      </c>
      <c r="I39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Jesse Brownjesse.brown318@example.comJapanTraining: Dashboard Design0.16666666666666742DNoneAttendee</v>
      </c>
      <c r="J398" t="str">
        <f>IF(COUNTIF(EDA_Table[Temp ID],EDA_Table[[#This Row],[Temp ID]])&gt;1,"Duplicate","Unique")</f>
        <v>Duplicate</v>
      </c>
    </row>
    <row r="399" spans="1:10">
      <c r="A399" t="s">
        <v>288</v>
      </c>
      <c r="B399" t="s">
        <v>579</v>
      </c>
      <c r="C399" t="s">
        <v>27</v>
      </c>
      <c r="D399" t="s">
        <v>45</v>
      </c>
      <c r="E399" s="2">
        <v>0.39583333333333331</v>
      </c>
      <c r="F399" t="s">
        <v>578</v>
      </c>
      <c r="G399" t="s">
        <v>15</v>
      </c>
      <c r="H399" t="s">
        <v>39</v>
      </c>
      <c r="I39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Johnsonalex.johnson582@example.comFranceKeynote: Future of Data0.39583333333333342DVegetarianAttendee</v>
      </c>
      <c r="J399" t="str">
        <f>IF(COUNTIF(EDA_Table[Temp ID],EDA_Table[[#This Row],[Temp ID]])&gt;1,"Duplicate","Unique")</f>
        <v>Duplicate</v>
      </c>
    </row>
    <row r="400" spans="1:10">
      <c r="A400" t="s">
        <v>138</v>
      </c>
      <c r="B400" t="s">
        <v>577</v>
      </c>
      <c r="C400" t="s">
        <v>101</v>
      </c>
      <c r="D400" t="s">
        <v>13</v>
      </c>
      <c r="E400" s="2">
        <v>0.16666666666666666</v>
      </c>
      <c r="F400" t="s">
        <v>578</v>
      </c>
      <c r="G400" t="s">
        <v>31</v>
      </c>
      <c r="H400" t="s">
        <v>39</v>
      </c>
      <c r="I40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Jesse Brownjesse.brown318@example.comJapanTraining: Dashboard Design0.16666666666666742DNoneAttendee</v>
      </c>
      <c r="J400" t="str">
        <f>IF(COUNTIF(EDA_Table[Temp ID],EDA_Table[[#This Row],[Temp ID]])&gt;1,"Duplicate","Unique")</f>
        <v>Duplicate</v>
      </c>
    </row>
    <row r="401" spans="1:10">
      <c r="A401" t="s">
        <v>40</v>
      </c>
      <c r="B401" t="s">
        <v>580</v>
      </c>
      <c r="C401" t="s">
        <v>78</v>
      </c>
      <c r="E401" s="1">
        <v>0.35416666666666669</v>
      </c>
      <c r="F401" t="s">
        <v>578</v>
      </c>
      <c r="G401" t="s">
        <v>15</v>
      </c>
      <c r="H401" t="s">
        <v>39</v>
      </c>
      <c r="I40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Allendrew.allen98@example.comAustralia0.35416666666666742DVegetarianAttendee</v>
      </c>
      <c r="J401" t="str">
        <f>IF(COUNTIF(EDA_Table[Temp ID],EDA_Table[[#This Row],[Temp ID]])&gt;1,"Duplicate","Unique")</f>
        <v>Duplicate</v>
      </c>
    </row>
    <row r="402" spans="1:10">
      <c r="A402" t="s">
        <v>40</v>
      </c>
      <c r="B402" t="s">
        <v>580</v>
      </c>
      <c r="C402" t="s">
        <v>78</v>
      </c>
      <c r="E402" s="1">
        <v>0.35416666666666669</v>
      </c>
      <c r="F402" t="s">
        <v>578</v>
      </c>
      <c r="G402" t="s">
        <v>15</v>
      </c>
      <c r="H402" t="s">
        <v>39</v>
      </c>
      <c r="I40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Allendrew.allen98@example.comAustralia0.35416666666666742DVegetarianAttendee</v>
      </c>
      <c r="J402" t="str">
        <f>IF(COUNTIF(EDA_Table[Temp ID],EDA_Table[[#This Row],[Temp ID]])&gt;1,"Duplicate","Unique")</f>
        <v>Duplicate</v>
      </c>
    </row>
    <row r="403" spans="1:10">
      <c r="A403" t="s">
        <v>288</v>
      </c>
      <c r="B403" t="s">
        <v>579</v>
      </c>
      <c r="C403" t="s">
        <v>27</v>
      </c>
      <c r="D403" t="s">
        <v>45</v>
      </c>
      <c r="E403" s="2">
        <v>0.39583333333333331</v>
      </c>
      <c r="F403" t="s">
        <v>578</v>
      </c>
      <c r="G403" t="s">
        <v>15</v>
      </c>
      <c r="H403" t="s">
        <v>39</v>
      </c>
      <c r="I40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Johnsonalex.johnson582@example.comFranceKeynote: Future of Data0.39583333333333342DVegetarianAttendee</v>
      </c>
      <c r="J403" t="str">
        <f>IF(COUNTIF(EDA_Table[Temp ID],EDA_Table[[#This Row],[Temp ID]])&gt;1,"Duplicate","Unique")</f>
        <v>Duplicate</v>
      </c>
    </row>
    <row r="404" spans="1:10">
      <c r="A404" t="s">
        <v>173</v>
      </c>
      <c r="B404" t="s">
        <v>581</v>
      </c>
      <c r="C404" t="s">
        <v>96</v>
      </c>
      <c r="D404" t="s">
        <v>19</v>
      </c>
      <c r="E404" s="2">
        <v>0.52083333333333337</v>
      </c>
      <c r="F404" t="s">
        <v>582</v>
      </c>
      <c r="G404" t="s">
        <v>28</v>
      </c>
      <c r="H404" t="s">
        <v>39</v>
      </c>
      <c r="I40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Allenchris.allen89@example.comUnited Kingdom 0.52083333333333343AKosherAttendee</v>
      </c>
      <c r="J404" t="str">
        <f>IF(COUNTIF(EDA_Table[Temp ID],EDA_Table[[#This Row],[Temp ID]])&gt;1,"Duplicate","Unique")</f>
        <v>Unique</v>
      </c>
    </row>
    <row r="405" spans="1:10">
      <c r="A405" t="s">
        <v>229</v>
      </c>
      <c r="B405" t="s">
        <v>583</v>
      </c>
      <c r="C405" t="s">
        <v>27</v>
      </c>
      <c r="D405" t="s">
        <v>13</v>
      </c>
      <c r="E405" s="2">
        <v>0.45833333333333331</v>
      </c>
      <c r="F405" t="s">
        <v>584</v>
      </c>
      <c r="G405" t="s">
        <v>52</v>
      </c>
      <c r="H405" t="s">
        <v>39</v>
      </c>
      <c r="I40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Wilsonjordan.wilson744@example.comFranceTraining: Dashboard Design0.45833333333333343BVeganAttendee</v>
      </c>
      <c r="J405" t="str">
        <f>IF(COUNTIF(EDA_Table[Temp ID],EDA_Table[[#This Row],[Temp ID]])&gt;1,"Duplicate","Unique")</f>
        <v>Unique</v>
      </c>
    </row>
    <row r="406" spans="1:10">
      <c r="A406" t="s">
        <v>159</v>
      </c>
      <c r="B406" t="s">
        <v>585</v>
      </c>
      <c r="C406" t="s">
        <v>37</v>
      </c>
      <c r="D406" t="s">
        <v>13</v>
      </c>
      <c r="E406" s="2">
        <v>0.66666666666666663</v>
      </c>
      <c r="F406" t="s">
        <v>584</v>
      </c>
      <c r="G406" t="s">
        <v>19</v>
      </c>
      <c r="H406" t="s">
        <v>39</v>
      </c>
      <c r="I40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Hallriley.hall523@example.comCanadaTraining: Dashboard Design0.66666666666666743B Attendee</v>
      </c>
      <c r="J406" t="str">
        <f>IF(COUNTIF(EDA_Table[Temp ID],EDA_Table[[#This Row],[Temp ID]])&gt;1,"Duplicate","Unique")</f>
        <v>Duplicate</v>
      </c>
    </row>
    <row r="407" spans="1:10">
      <c r="A407" t="s">
        <v>159</v>
      </c>
      <c r="B407" t="s">
        <v>585</v>
      </c>
      <c r="C407" t="s">
        <v>37</v>
      </c>
      <c r="D407" t="s">
        <v>13</v>
      </c>
      <c r="E407" s="2">
        <v>0.66666666666666663</v>
      </c>
      <c r="F407" t="s">
        <v>584</v>
      </c>
      <c r="G407" t="s">
        <v>19</v>
      </c>
      <c r="H407" t="s">
        <v>39</v>
      </c>
      <c r="I40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Hallriley.hall523@example.comCanadaTraining: Dashboard Design0.66666666666666743B Attendee</v>
      </c>
      <c r="J407" t="str">
        <f>IF(COUNTIF(EDA_Table[Temp ID],EDA_Table[[#This Row],[Temp ID]])&gt;1,"Duplicate","Unique")</f>
        <v>Duplicate</v>
      </c>
    </row>
    <row r="408" spans="1:10">
      <c r="A408" t="s">
        <v>250</v>
      </c>
      <c r="B408" t="s">
        <v>586</v>
      </c>
      <c r="C408" t="s">
        <v>96</v>
      </c>
      <c r="E408" s="2">
        <v>0</v>
      </c>
      <c r="F408" t="s">
        <v>587</v>
      </c>
      <c r="G408" t="s">
        <v>31</v>
      </c>
      <c r="H408" t="s">
        <v>39</v>
      </c>
      <c r="I40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Smithriley.smith65@example.comUnited Kingdom043CNoneAttendee</v>
      </c>
      <c r="J408" t="str">
        <f>IF(COUNTIF(EDA_Table[Temp ID],EDA_Table[[#This Row],[Temp ID]])&gt;1,"Duplicate","Unique")</f>
        <v>Duplicate</v>
      </c>
    </row>
    <row r="409" spans="1:10">
      <c r="A409" t="s">
        <v>250</v>
      </c>
      <c r="B409" t="s">
        <v>586</v>
      </c>
      <c r="C409" t="s">
        <v>96</v>
      </c>
      <c r="E409" s="2">
        <v>0</v>
      </c>
      <c r="F409" t="s">
        <v>587</v>
      </c>
      <c r="G409" t="s">
        <v>31</v>
      </c>
      <c r="H409" t="s">
        <v>39</v>
      </c>
      <c r="I40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Smithriley.smith65@example.comUnited Kingdom043CNoneAttendee</v>
      </c>
      <c r="J409" t="str">
        <f>IF(COUNTIF(EDA_Table[Temp ID],EDA_Table[[#This Row],[Temp ID]])&gt;1,"Duplicate","Unique")</f>
        <v>Duplicate</v>
      </c>
    </row>
    <row r="410" spans="1:10">
      <c r="A410" t="s">
        <v>334</v>
      </c>
      <c r="B410" t="s">
        <v>588</v>
      </c>
      <c r="C410" t="s">
        <v>112</v>
      </c>
      <c r="D410" t="s">
        <v>19</v>
      </c>
      <c r="E410" s="2">
        <v>0.79166666666666663</v>
      </c>
      <c r="F410" t="s">
        <v>587</v>
      </c>
      <c r="H410" t="s">
        <v>39</v>
      </c>
      <c r="I41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Johnsonjamie.johnson162@example.comNigeria 0.79166666666666743CAttendee</v>
      </c>
      <c r="J410" t="str">
        <f>IF(COUNTIF(EDA_Table[Temp ID],EDA_Table[[#This Row],[Temp ID]])&gt;1,"Duplicate","Unique")</f>
        <v>Duplicate</v>
      </c>
    </row>
    <row r="411" spans="1:10">
      <c r="A411" t="s">
        <v>334</v>
      </c>
      <c r="B411" t="s">
        <v>588</v>
      </c>
      <c r="C411" t="s">
        <v>112</v>
      </c>
      <c r="D411" t="s">
        <v>19</v>
      </c>
      <c r="E411" s="2">
        <v>0.79166666666666663</v>
      </c>
      <c r="F411" t="s">
        <v>587</v>
      </c>
      <c r="H411" t="s">
        <v>39</v>
      </c>
      <c r="I41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Johnsonjamie.johnson162@example.comNigeria 0.79166666666666743CAttendee</v>
      </c>
      <c r="J411" t="str">
        <f>IF(COUNTIF(EDA_Table[Temp ID],EDA_Table[[#This Row],[Temp ID]])&gt;1,"Duplicate","Unique")</f>
        <v>Duplicate</v>
      </c>
    </row>
    <row r="412" spans="1:10">
      <c r="A412" t="s">
        <v>229</v>
      </c>
      <c r="B412" t="s">
        <v>589</v>
      </c>
      <c r="C412" t="s">
        <v>27</v>
      </c>
      <c r="D412" t="s">
        <v>71</v>
      </c>
      <c r="E412" s="2">
        <v>0.91666666666666663</v>
      </c>
      <c r="F412" t="s">
        <v>587</v>
      </c>
      <c r="G412" t="s">
        <v>15</v>
      </c>
      <c r="H412" t="s">
        <v>39</v>
      </c>
      <c r="I41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Wilsonjordan.wilson567@example.comFranceWebinar: AI Ethics0.91666666666666743CVegetarianAttendee</v>
      </c>
      <c r="J412" t="str">
        <f>IF(COUNTIF(EDA_Table[Temp ID],EDA_Table[[#This Row],[Temp ID]])&gt;1,"Duplicate","Unique")</f>
        <v>Duplicate</v>
      </c>
    </row>
    <row r="413" spans="1:10">
      <c r="A413" t="s">
        <v>229</v>
      </c>
      <c r="B413" t="s">
        <v>589</v>
      </c>
      <c r="C413" t="s">
        <v>27</v>
      </c>
      <c r="D413" t="s">
        <v>71</v>
      </c>
      <c r="E413" s="2">
        <v>0.91666666666666663</v>
      </c>
      <c r="F413" t="s">
        <v>587</v>
      </c>
      <c r="G413" t="s">
        <v>15</v>
      </c>
      <c r="H413" t="s">
        <v>39</v>
      </c>
      <c r="I41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Wilsonjordan.wilson567@example.comFranceWebinar: AI Ethics0.91666666666666743CVegetarianAttendee</v>
      </c>
      <c r="J413" t="str">
        <f>IF(COUNTIF(EDA_Table[Temp ID],EDA_Table[[#This Row],[Temp ID]])&gt;1,"Duplicate","Unique")</f>
        <v>Duplicate</v>
      </c>
    </row>
    <row r="414" spans="1:10">
      <c r="A414" t="s">
        <v>536</v>
      </c>
      <c r="B414" t="s">
        <v>590</v>
      </c>
      <c r="C414" t="s">
        <v>37</v>
      </c>
      <c r="D414" t="s">
        <v>79</v>
      </c>
      <c r="E414" s="2">
        <v>0.64583333333333337</v>
      </c>
      <c r="F414" t="s">
        <v>587</v>
      </c>
      <c r="G414" t="s">
        <v>52</v>
      </c>
      <c r="H414" t="s">
        <v>39</v>
      </c>
      <c r="I41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Brownchris.brown485@example.comCanadaPanel: Women in Tech0.64583333333333343CVeganAttendee</v>
      </c>
      <c r="J414" t="str">
        <f>IF(COUNTIF(EDA_Table[Temp ID],EDA_Table[[#This Row],[Temp ID]])&gt;1,"Duplicate","Unique")</f>
        <v>Unique</v>
      </c>
    </row>
    <row r="415" spans="1:10">
      <c r="A415" t="s">
        <v>188</v>
      </c>
      <c r="B415" t="s">
        <v>591</v>
      </c>
      <c r="C415" t="s">
        <v>101</v>
      </c>
      <c r="D415" t="s">
        <v>19</v>
      </c>
      <c r="E415" s="1">
        <v>0.77083333333333337</v>
      </c>
      <c r="F415" t="s">
        <v>587</v>
      </c>
      <c r="G415" t="s">
        <v>31</v>
      </c>
      <c r="H415" t="s">
        <v>39</v>
      </c>
      <c r="I41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Lewisalex.lewis2@example.comJapan 0.77083333333333343CNoneAttendee</v>
      </c>
      <c r="J415" t="str">
        <f>IF(COUNTIF(EDA_Table[Temp ID],EDA_Table[[#This Row],[Temp ID]])&gt;1,"Duplicate","Unique")</f>
        <v>Unique</v>
      </c>
    </row>
    <row r="416" spans="1:10">
      <c r="A416" t="s">
        <v>310</v>
      </c>
      <c r="B416" t="s">
        <v>592</v>
      </c>
      <c r="C416" t="s">
        <v>37</v>
      </c>
      <c r="D416" t="s">
        <v>13</v>
      </c>
      <c r="E416" s="2">
        <v>0.33333333333333331</v>
      </c>
      <c r="F416" t="s">
        <v>587</v>
      </c>
      <c r="G416" t="s">
        <v>15</v>
      </c>
      <c r="H416" t="s">
        <v>39</v>
      </c>
      <c r="I41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Jesse Smithjesse.smith635@example.comCanadaTraining: Dashboard Design0.33333333333333343CVegetarianAttendee</v>
      </c>
      <c r="J416" t="str">
        <f>IF(COUNTIF(EDA_Table[Temp ID],EDA_Table[[#This Row],[Temp ID]])&gt;1,"Duplicate","Unique")</f>
        <v>Unique</v>
      </c>
    </row>
    <row r="417" spans="1:10">
      <c r="A417" t="s">
        <v>88</v>
      </c>
      <c r="B417" t="s">
        <v>593</v>
      </c>
      <c r="C417" t="s">
        <v>27</v>
      </c>
      <c r="D417" t="s">
        <v>13</v>
      </c>
      <c r="E417" s="2">
        <v>0.70833333333333337</v>
      </c>
      <c r="F417" t="s">
        <v>594</v>
      </c>
      <c r="H417" t="s">
        <v>21</v>
      </c>
      <c r="I41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Lewisjordan.lewis391@example.comFranceTraining: Dashboard Design0.70833333333333344ASpeaker</v>
      </c>
      <c r="J417" t="str">
        <f>IF(COUNTIF(EDA_Table[Temp ID],EDA_Table[[#This Row],[Temp ID]])&gt;1,"Duplicate","Unique")</f>
        <v>Duplicate</v>
      </c>
    </row>
    <row r="418" spans="1:10">
      <c r="A418" t="s">
        <v>211</v>
      </c>
      <c r="B418" t="s">
        <v>595</v>
      </c>
      <c r="C418" t="s">
        <v>112</v>
      </c>
      <c r="D418" t="s">
        <v>71</v>
      </c>
      <c r="E418" s="2">
        <v>0.83333333333333337</v>
      </c>
      <c r="F418" t="s">
        <v>594</v>
      </c>
      <c r="G418" t="s">
        <v>15</v>
      </c>
      <c r="H418" t="s">
        <v>39</v>
      </c>
      <c r="I41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Johnsonmorgan.johnson378@example.comNigeriaWebinar: AI Ethics0.83333333333333344AVegetarianAttendee</v>
      </c>
      <c r="J418" t="str">
        <f>IF(COUNTIF(EDA_Table[Temp ID],EDA_Table[[#This Row],[Temp ID]])&gt;1,"Duplicate","Unique")</f>
        <v>Unique</v>
      </c>
    </row>
    <row r="419" spans="1:10">
      <c r="A419" t="s">
        <v>88</v>
      </c>
      <c r="B419" t="s">
        <v>593</v>
      </c>
      <c r="C419" t="s">
        <v>27</v>
      </c>
      <c r="D419" t="s">
        <v>13</v>
      </c>
      <c r="E419" s="2">
        <v>0.70833333333333337</v>
      </c>
      <c r="F419" t="s">
        <v>594</v>
      </c>
      <c r="H419" t="s">
        <v>21</v>
      </c>
      <c r="I41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Lewisjordan.lewis391@example.comFranceTraining: Dashboard Design0.70833333333333344ASpeaker</v>
      </c>
      <c r="J419" t="str">
        <f>IF(COUNTIF(EDA_Table[Temp ID],EDA_Table[[#This Row],[Temp ID]])&gt;1,"Duplicate","Unique")</f>
        <v>Duplicate</v>
      </c>
    </row>
    <row r="420" spans="1:10">
      <c r="A420" t="s">
        <v>114</v>
      </c>
      <c r="B420" t="s">
        <v>596</v>
      </c>
      <c r="C420" t="s">
        <v>68</v>
      </c>
      <c r="D420" t="s">
        <v>71</v>
      </c>
      <c r="E420" s="2">
        <v>0.89583333333333337</v>
      </c>
      <c r="F420" t="s">
        <v>597</v>
      </c>
      <c r="H420" t="s">
        <v>39</v>
      </c>
      <c r="I42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Wilsondrew.wilson206@example.comIndiaWebinar: AI Ethics0.89583333333333344BAttendee</v>
      </c>
      <c r="J420" t="str">
        <f>IF(COUNTIF(EDA_Table[Temp ID],EDA_Table[[#This Row],[Temp ID]])&gt;1,"Duplicate","Unique")</f>
        <v>Unique</v>
      </c>
    </row>
    <row r="421" spans="1:10">
      <c r="A421" t="s">
        <v>598</v>
      </c>
      <c r="B421" t="s">
        <v>599</v>
      </c>
      <c r="C421" t="s">
        <v>12</v>
      </c>
      <c r="D421" t="s">
        <v>45</v>
      </c>
      <c r="E421" s="1">
        <v>0.45833333333333331</v>
      </c>
      <c r="F421" t="s">
        <v>600</v>
      </c>
      <c r="G421" t="s">
        <v>31</v>
      </c>
      <c r="H421" t="s">
        <v>39</v>
      </c>
      <c r="I42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Allenjamie.allen257@example.comUnited StatesKeynote: Future of Data0.45833333333333344CNoneAttendee</v>
      </c>
      <c r="J421" t="str">
        <f>IF(COUNTIF(EDA_Table[Temp ID],EDA_Table[[#This Row],[Temp ID]])&gt;1,"Duplicate","Unique")</f>
        <v>Unique</v>
      </c>
    </row>
    <row r="422" spans="1:10">
      <c r="A422" t="s">
        <v>242</v>
      </c>
      <c r="B422" t="s">
        <v>601</v>
      </c>
      <c r="C422" t="s">
        <v>37</v>
      </c>
      <c r="D422" t="s">
        <v>13</v>
      </c>
      <c r="E422" s="2">
        <v>0.22916666666666666</v>
      </c>
      <c r="F422" t="s">
        <v>600</v>
      </c>
      <c r="H422" t="s">
        <v>39</v>
      </c>
      <c r="I42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Smithmorgan.smith684@example.comCanadaTraining: Dashboard Design0.22916666666666744CAttendee</v>
      </c>
      <c r="J422" t="str">
        <f>IF(COUNTIF(EDA_Table[Temp ID],EDA_Table[[#This Row],[Temp ID]])&gt;1,"Duplicate","Unique")</f>
        <v>Unique</v>
      </c>
    </row>
    <row r="423" spans="1:10">
      <c r="A423" t="s">
        <v>66</v>
      </c>
      <c r="B423" t="s">
        <v>602</v>
      </c>
      <c r="C423" t="s">
        <v>55</v>
      </c>
      <c r="D423" t="s">
        <v>79</v>
      </c>
      <c r="E423" s="2">
        <v>0.79166666666666663</v>
      </c>
      <c r="F423" t="s">
        <v>600</v>
      </c>
      <c r="G423" t="s">
        <v>31</v>
      </c>
      <c r="H423" t="s">
        <v>39</v>
      </c>
      <c r="I42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Allencasey.allen117@example.comBrazilPanel: Women in Tech0.79166666666666744CNoneAttendee</v>
      </c>
      <c r="J423" t="str">
        <f>IF(COUNTIF(EDA_Table[Temp ID],EDA_Table[[#This Row],[Temp ID]])&gt;1,"Duplicate","Unique")</f>
        <v>Unique</v>
      </c>
    </row>
    <row r="424" spans="1:10">
      <c r="A424" t="s">
        <v>135</v>
      </c>
      <c r="B424" t="s">
        <v>603</v>
      </c>
      <c r="C424" t="s">
        <v>112</v>
      </c>
      <c r="D424" t="s">
        <v>45</v>
      </c>
      <c r="E424" s="1">
        <v>8.3333333333333329E-2</v>
      </c>
      <c r="F424" t="s">
        <v>604</v>
      </c>
      <c r="G424" t="s">
        <v>31</v>
      </c>
      <c r="H424" t="s">
        <v>21</v>
      </c>
      <c r="I42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Leemorgan.lee522@example.comNigeriaKeynote: Future of Data0.083333333333333344DNoneSpeaker</v>
      </c>
      <c r="J424" t="str">
        <f>IF(COUNTIF(EDA_Table[Temp ID],EDA_Table[[#This Row],[Temp ID]])&gt;1,"Duplicate","Unique")</f>
        <v>Unique</v>
      </c>
    </row>
    <row r="425" spans="1:10">
      <c r="A425" t="s">
        <v>121</v>
      </c>
      <c r="B425" t="s">
        <v>605</v>
      </c>
      <c r="C425" t="s">
        <v>19</v>
      </c>
      <c r="D425" t="s">
        <v>13</v>
      </c>
      <c r="E425" s="2">
        <v>2.0833333333333332E-2</v>
      </c>
      <c r="F425" t="s">
        <v>604</v>
      </c>
      <c r="G425" t="s">
        <v>15</v>
      </c>
      <c r="H425" t="s">
        <v>39</v>
      </c>
      <c r="I42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Jesse Lewisjesse.lewis842@example.com Training: Dashboard Design0.020833333333333344DVegetarianAttendee</v>
      </c>
      <c r="J425" t="str">
        <f>IF(COUNTIF(EDA_Table[Temp ID],EDA_Table[[#This Row],[Temp ID]])&gt;1,"Duplicate","Unique")</f>
        <v>Unique</v>
      </c>
    </row>
    <row r="426" spans="1:10">
      <c r="A426" t="s">
        <v>313</v>
      </c>
      <c r="B426" t="s">
        <v>606</v>
      </c>
      <c r="C426" t="s">
        <v>78</v>
      </c>
      <c r="D426" t="s">
        <v>79</v>
      </c>
      <c r="E426" s="2">
        <v>0.45833333333333331</v>
      </c>
      <c r="F426" t="s">
        <v>604</v>
      </c>
      <c r="G426" t="s">
        <v>52</v>
      </c>
      <c r="H426" t="s">
        <v>39</v>
      </c>
      <c r="I42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Browncasey.brown321@example.comAustraliaPanel: Women in Tech0.45833333333333344DVeganAttendee</v>
      </c>
      <c r="J426" t="str">
        <f>IF(COUNTIF(EDA_Table[Temp ID],EDA_Table[[#This Row],[Temp ID]])&gt;1,"Duplicate","Unique")</f>
        <v>Unique</v>
      </c>
    </row>
    <row r="427" spans="1:10">
      <c r="A427" t="s">
        <v>242</v>
      </c>
      <c r="B427" t="s">
        <v>607</v>
      </c>
      <c r="C427" t="s">
        <v>55</v>
      </c>
      <c r="D427" t="s">
        <v>19</v>
      </c>
      <c r="E427" s="2">
        <v>0.72916666666666663</v>
      </c>
      <c r="F427" t="s">
        <v>608</v>
      </c>
      <c r="G427" t="s">
        <v>52</v>
      </c>
      <c r="H427" t="s">
        <v>39</v>
      </c>
      <c r="I42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Smithmorgan.smith350@example.comBrazil 0.72916666666666745AVeganAttendee</v>
      </c>
      <c r="J427" t="str">
        <f>IF(COUNTIF(EDA_Table[Temp ID],EDA_Table[[#This Row],[Temp ID]])&gt;1,"Duplicate","Unique")</f>
        <v>Unique</v>
      </c>
    </row>
    <row r="428" spans="1:10">
      <c r="A428" t="s">
        <v>237</v>
      </c>
      <c r="B428" t="s">
        <v>609</v>
      </c>
      <c r="C428" t="s">
        <v>68</v>
      </c>
      <c r="E428" s="2">
        <v>0.3125</v>
      </c>
      <c r="F428" t="s">
        <v>608</v>
      </c>
      <c r="G428" t="s">
        <v>28</v>
      </c>
      <c r="H428" t="s">
        <v>39</v>
      </c>
      <c r="I42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Jesse Halljesse.hall886@example.comIndia0.312545AKosherAttendee</v>
      </c>
      <c r="J428" t="str">
        <f>IF(COUNTIF(EDA_Table[Temp ID],EDA_Table[[#This Row],[Temp ID]])&gt;1,"Duplicate","Unique")</f>
        <v>Unique</v>
      </c>
    </row>
    <row r="429" spans="1:10">
      <c r="A429" t="s">
        <v>133</v>
      </c>
      <c r="B429" t="s">
        <v>610</v>
      </c>
      <c r="C429" t="s">
        <v>12</v>
      </c>
      <c r="D429" t="s">
        <v>45</v>
      </c>
      <c r="E429" s="2">
        <v>0.3125</v>
      </c>
      <c r="F429" t="s">
        <v>611</v>
      </c>
      <c r="G429" t="s">
        <v>91</v>
      </c>
      <c r="H429" t="s">
        <v>39</v>
      </c>
      <c r="I42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Walkerriley.walker459@example.comUnited StatesKeynote: Future of Data0.312545BHalalAttendee</v>
      </c>
      <c r="J429" t="str">
        <f>IF(COUNTIF(EDA_Table[Temp ID],EDA_Table[[#This Row],[Temp ID]])&gt;1,"Duplicate","Unique")</f>
        <v>Unique</v>
      </c>
    </row>
    <row r="430" spans="1:10">
      <c r="A430" t="s">
        <v>83</v>
      </c>
      <c r="B430" t="s">
        <v>612</v>
      </c>
      <c r="C430" t="s">
        <v>34</v>
      </c>
      <c r="D430" t="s">
        <v>50</v>
      </c>
      <c r="E430" s="2">
        <v>0.8125</v>
      </c>
      <c r="F430" t="s">
        <v>613</v>
      </c>
      <c r="H430" t="s">
        <v>39</v>
      </c>
      <c r="I43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Walkerchris.walker825@example.comGermanyWorkshop: Excel Mastery0.812545CAttendee</v>
      </c>
      <c r="J430" t="str">
        <f>IF(COUNTIF(EDA_Table[Temp ID],EDA_Table[[#This Row],[Temp ID]])&gt;1,"Duplicate","Unique")</f>
        <v>Unique</v>
      </c>
    </row>
    <row r="431" spans="1:10">
      <c r="A431" t="s">
        <v>190</v>
      </c>
      <c r="B431" t="s">
        <v>614</v>
      </c>
      <c r="C431" t="s">
        <v>78</v>
      </c>
      <c r="D431" t="s">
        <v>45</v>
      </c>
      <c r="E431" s="2">
        <v>0.22916666666666666</v>
      </c>
      <c r="F431" t="s">
        <v>613</v>
      </c>
      <c r="G431" t="s">
        <v>52</v>
      </c>
      <c r="H431" t="s">
        <v>39</v>
      </c>
      <c r="I43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Johnsoncasey.johnson118@example.comAustraliaKeynote: Future of Data0.22916666666666745CVeganAttendee</v>
      </c>
      <c r="J431" t="str">
        <f>IF(COUNTIF(EDA_Table[Temp ID],EDA_Table[[#This Row],[Temp ID]])&gt;1,"Duplicate","Unique")</f>
        <v>Unique</v>
      </c>
    </row>
    <row r="432" spans="1:10">
      <c r="A432" t="s">
        <v>53</v>
      </c>
      <c r="B432" t="s">
        <v>615</v>
      </c>
      <c r="C432" t="s">
        <v>78</v>
      </c>
      <c r="D432" t="s">
        <v>71</v>
      </c>
      <c r="E432" s="2">
        <v>0.77083333333333337</v>
      </c>
      <c r="F432" t="s">
        <v>613</v>
      </c>
      <c r="G432" t="s">
        <v>52</v>
      </c>
      <c r="H432" t="s">
        <v>39</v>
      </c>
      <c r="I43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Brownriley.brown243@example.comAustraliaWebinar: AI Ethics0.77083333333333345CVeganAttendee</v>
      </c>
      <c r="J432" t="str">
        <f>IF(COUNTIF(EDA_Table[Temp ID],EDA_Table[[#This Row],[Temp ID]])&gt;1,"Duplicate","Unique")</f>
        <v>Unique</v>
      </c>
    </row>
    <row r="433" spans="1:10">
      <c r="A433" t="s">
        <v>211</v>
      </c>
      <c r="B433" t="s">
        <v>616</v>
      </c>
      <c r="C433" t="s">
        <v>96</v>
      </c>
      <c r="D433" t="s">
        <v>50</v>
      </c>
      <c r="E433" s="2">
        <v>0.375</v>
      </c>
      <c r="F433" t="s">
        <v>617</v>
      </c>
      <c r="G433" t="s">
        <v>91</v>
      </c>
      <c r="H433" t="s">
        <v>39</v>
      </c>
      <c r="I43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Johnsonmorgan.johnson572@example.comUnited KingdomWorkshop: Excel Mastery0.37545DHalalAttendee</v>
      </c>
      <c r="J433" t="str">
        <f>IF(COUNTIF(EDA_Table[Temp ID],EDA_Table[[#This Row],[Temp ID]])&gt;1,"Duplicate","Unique")</f>
        <v>Unique</v>
      </c>
    </row>
    <row r="434" spans="1:10">
      <c r="A434" t="s">
        <v>368</v>
      </c>
      <c r="B434" t="s">
        <v>618</v>
      </c>
      <c r="C434" t="s">
        <v>37</v>
      </c>
      <c r="D434" t="s">
        <v>71</v>
      </c>
      <c r="E434" s="1">
        <v>0.16666666666666666</v>
      </c>
      <c r="F434" t="s">
        <v>617</v>
      </c>
      <c r="G434" t="s">
        <v>91</v>
      </c>
      <c r="H434" t="s">
        <v>39</v>
      </c>
      <c r="I43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Clarkcasey.clark580@example.comCanadaWebinar: AI Ethics0.16666666666666745DHalalAttendee</v>
      </c>
      <c r="J434" t="str">
        <f>IF(COUNTIF(EDA_Table[Temp ID],EDA_Table[[#This Row],[Temp ID]])&gt;1,"Duplicate","Unique")</f>
        <v>Unique</v>
      </c>
    </row>
    <row r="435" spans="1:10">
      <c r="A435" t="s">
        <v>619</v>
      </c>
      <c r="B435" t="s">
        <v>620</v>
      </c>
      <c r="C435" t="s">
        <v>96</v>
      </c>
      <c r="D435" t="s">
        <v>45</v>
      </c>
      <c r="E435" s="2">
        <v>0.45833333333333331</v>
      </c>
      <c r="F435" t="s">
        <v>621</v>
      </c>
      <c r="G435" t="s">
        <v>91</v>
      </c>
      <c r="H435" t="s">
        <v>39</v>
      </c>
      <c r="I43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Allenmorgan.allen142@example.comUnited KingdomKeynote: Future of Data0.45833333333333346AHalalAttendee</v>
      </c>
      <c r="J435" t="str">
        <f>IF(COUNTIF(EDA_Table[Temp ID],EDA_Table[[#This Row],[Temp ID]])&gt;1,"Duplicate","Unique")</f>
        <v>Unique</v>
      </c>
    </row>
    <row r="436" spans="1:10">
      <c r="A436" t="s">
        <v>88</v>
      </c>
      <c r="B436" t="s">
        <v>622</v>
      </c>
      <c r="C436" t="s">
        <v>101</v>
      </c>
      <c r="D436" t="s">
        <v>79</v>
      </c>
      <c r="E436" s="2">
        <v>0.75</v>
      </c>
      <c r="F436" t="s">
        <v>621</v>
      </c>
      <c r="G436" t="s">
        <v>52</v>
      </c>
      <c r="H436" t="s">
        <v>21</v>
      </c>
      <c r="I43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Lewisjordan.lewis81@example.comJapanPanel: Women in Tech0.7546AVeganSpeaker</v>
      </c>
      <c r="J436" t="str">
        <f>IF(COUNTIF(EDA_Table[Temp ID],EDA_Table[[#This Row],[Temp ID]])&gt;1,"Duplicate","Unique")</f>
        <v>Unique</v>
      </c>
    </row>
    <row r="437" spans="1:10">
      <c r="A437" t="s">
        <v>48</v>
      </c>
      <c r="B437" t="s">
        <v>623</v>
      </c>
      <c r="C437" t="s">
        <v>37</v>
      </c>
      <c r="D437" t="s">
        <v>71</v>
      </c>
      <c r="E437" s="2">
        <v>0.375</v>
      </c>
      <c r="F437" t="s">
        <v>624</v>
      </c>
      <c r="G437" t="s">
        <v>19</v>
      </c>
      <c r="H437" t="s">
        <v>39</v>
      </c>
      <c r="I43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Clarkjamie.clark727@example.comCanadaWebinar: AI Ethics0.37546B Attendee</v>
      </c>
      <c r="J437" t="str">
        <f>IF(COUNTIF(EDA_Table[Temp ID],EDA_Table[[#This Row],[Temp ID]])&gt;1,"Duplicate","Unique")</f>
        <v>Unique</v>
      </c>
    </row>
    <row r="438" spans="1:10">
      <c r="A438" t="s">
        <v>173</v>
      </c>
      <c r="B438" t="s">
        <v>625</v>
      </c>
      <c r="C438" t="s">
        <v>68</v>
      </c>
      <c r="D438" t="s">
        <v>19</v>
      </c>
      <c r="E438" s="2">
        <v>0.16666666666666666</v>
      </c>
      <c r="F438" t="s">
        <v>624</v>
      </c>
      <c r="G438" t="s">
        <v>91</v>
      </c>
      <c r="H438" t="s">
        <v>39</v>
      </c>
      <c r="I43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Allenchris.allen42@example.comIndia 0.16666666666666746BHalalAttendee</v>
      </c>
      <c r="J438" t="str">
        <f>IF(COUNTIF(EDA_Table[Temp ID],EDA_Table[[#This Row],[Temp ID]])&gt;1,"Duplicate","Unique")</f>
        <v>Unique</v>
      </c>
    </row>
    <row r="439" spans="1:10">
      <c r="A439" t="s">
        <v>88</v>
      </c>
      <c r="B439" t="s">
        <v>626</v>
      </c>
      <c r="C439" t="s">
        <v>112</v>
      </c>
      <c r="D439" t="s">
        <v>71</v>
      </c>
      <c r="E439" s="1">
        <v>0.70833333333333337</v>
      </c>
      <c r="F439" t="s">
        <v>624</v>
      </c>
      <c r="H439" t="s">
        <v>39</v>
      </c>
      <c r="I43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Lewisjordan.lewis119@example.comNigeriaWebinar: AI Ethics0.70833333333333346BAttendee</v>
      </c>
      <c r="J439" t="str">
        <f>IF(COUNTIF(EDA_Table[Temp ID],EDA_Table[[#This Row],[Temp ID]])&gt;1,"Duplicate","Unique")</f>
        <v>Unique</v>
      </c>
    </row>
    <row r="440" spans="1:10">
      <c r="A440" t="s">
        <v>110</v>
      </c>
      <c r="B440" t="s">
        <v>627</v>
      </c>
      <c r="C440" t="s">
        <v>37</v>
      </c>
      <c r="D440" t="s">
        <v>45</v>
      </c>
      <c r="E440" s="1">
        <v>0.22916666666666666</v>
      </c>
      <c r="F440" t="s">
        <v>628</v>
      </c>
      <c r="G440" t="s">
        <v>15</v>
      </c>
      <c r="H440" t="s">
        <v>39</v>
      </c>
      <c r="I44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Leejordan.lee271@example.comCanadaKeynote: Future of Data0.22916666666666746CVegetarianAttendee</v>
      </c>
      <c r="J440" t="str">
        <f>IF(COUNTIF(EDA_Table[Temp ID],EDA_Table[[#This Row],[Temp ID]])&gt;1,"Duplicate","Unique")</f>
        <v>Duplicate</v>
      </c>
    </row>
    <row r="441" spans="1:10">
      <c r="A441" t="s">
        <v>110</v>
      </c>
      <c r="B441" t="s">
        <v>627</v>
      </c>
      <c r="C441" t="s">
        <v>37</v>
      </c>
      <c r="D441" t="s">
        <v>45</v>
      </c>
      <c r="E441" s="1">
        <v>0.22916666666666666</v>
      </c>
      <c r="F441" t="s">
        <v>628</v>
      </c>
      <c r="G441" t="s">
        <v>15</v>
      </c>
      <c r="H441" t="s">
        <v>39</v>
      </c>
      <c r="I44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Leejordan.lee271@example.comCanadaKeynote: Future of Data0.22916666666666746CVegetarianAttendee</v>
      </c>
      <c r="J441" t="str">
        <f>IF(COUNTIF(EDA_Table[Temp ID],EDA_Table[[#This Row],[Temp ID]])&gt;1,"Duplicate","Unique")</f>
        <v>Duplicate</v>
      </c>
    </row>
    <row r="442" spans="1:10">
      <c r="A442" t="s">
        <v>159</v>
      </c>
      <c r="B442" t="s">
        <v>629</v>
      </c>
      <c r="C442" t="s">
        <v>96</v>
      </c>
      <c r="D442" t="s">
        <v>71</v>
      </c>
      <c r="E442" s="2">
        <v>0.25</v>
      </c>
      <c r="F442" t="s">
        <v>628</v>
      </c>
      <c r="G442" t="s">
        <v>28</v>
      </c>
      <c r="H442" t="s">
        <v>39</v>
      </c>
      <c r="I44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Hallriley.hall170@example.comUnited KingdomWebinar: AI Ethics0.2546CKosherAttendee</v>
      </c>
      <c r="J442" t="str">
        <f>IF(COUNTIF(EDA_Table[Temp ID],EDA_Table[[#This Row],[Temp ID]])&gt;1,"Duplicate","Unique")</f>
        <v>Unique</v>
      </c>
    </row>
    <row r="443" spans="1:10">
      <c r="A443" t="s">
        <v>396</v>
      </c>
      <c r="B443" t="s">
        <v>630</v>
      </c>
      <c r="C443" t="s">
        <v>96</v>
      </c>
      <c r="D443" t="s">
        <v>50</v>
      </c>
      <c r="E443" s="2">
        <v>0.875</v>
      </c>
      <c r="F443" t="s">
        <v>631</v>
      </c>
      <c r="G443" t="s">
        <v>19</v>
      </c>
      <c r="H443" t="s">
        <v>39</v>
      </c>
      <c r="I44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Leeriley.lee649@example.comUnited KingdomWorkshop: Excel Mastery0.87546D Attendee</v>
      </c>
      <c r="J443" t="str">
        <f>IF(COUNTIF(EDA_Table[Temp ID],EDA_Table[[#This Row],[Temp ID]])&gt;1,"Duplicate","Unique")</f>
        <v>Unique</v>
      </c>
    </row>
    <row r="444" spans="1:10">
      <c r="A444" t="s">
        <v>632</v>
      </c>
      <c r="B444" t="s">
        <v>633</v>
      </c>
      <c r="C444" t="s">
        <v>37</v>
      </c>
      <c r="D444" t="s">
        <v>50</v>
      </c>
      <c r="E444" s="1">
        <v>0.375</v>
      </c>
      <c r="F444" t="s">
        <v>631</v>
      </c>
      <c r="G444" t="s">
        <v>15</v>
      </c>
      <c r="H444" t="s">
        <v>21</v>
      </c>
      <c r="I44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Smithcasey.smith31@example.comCanadaWorkshop: Excel Mastery0.37546DVegetarianSpeaker</v>
      </c>
      <c r="J444" t="str">
        <f>IF(COUNTIF(EDA_Table[Temp ID],EDA_Table[[#This Row],[Temp ID]])&gt;1,"Duplicate","Unique")</f>
        <v>Unique</v>
      </c>
    </row>
    <row r="445" spans="1:10">
      <c r="A445" t="s">
        <v>155</v>
      </c>
      <c r="B445" t="s">
        <v>634</v>
      </c>
      <c r="C445" t="s">
        <v>112</v>
      </c>
      <c r="D445" t="s">
        <v>79</v>
      </c>
      <c r="E445" s="1">
        <v>0.20833333333333334</v>
      </c>
      <c r="F445" t="s">
        <v>635</v>
      </c>
      <c r="G445" t="s">
        <v>52</v>
      </c>
      <c r="H445" t="s">
        <v>39</v>
      </c>
      <c r="I44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Wilsoncasey.wilson254@example.comNigeriaPanel: Women in Tech0.20833333333333347AVeganAttendee</v>
      </c>
      <c r="J445" t="str">
        <f>IF(COUNTIF(EDA_Table[Temp ID],EDA_Table[[#This Row],[Temp ID]])&gt;1,"Duplicate","Unique")</f>
        <v>Duplicate</v>
      </c>
    </row>
    <row r="446" spans="1:10">
      <c r="A446" t="s">
        <v>155</v>
      </c>
      <c r="B446" t="s">
        <v>634</v>
      </c>
      <c r="C446" t="s">
        <v>112</v>
      </c>
      <c r="D446" t="s">
        <v>79</v>
      </c>
      <c r="E446" s="1">
        <v>0.20833333333333334</v>
      </c>
      <c r="F446" t="s">
        <v>635</v>
      </c>
      <c r="G446" t="s">
        <v>52</v>
      </c>
      <c r="H446" t="s">
        <v>39</v>
      </c>
      <c r="I44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Wilsoncasey.wilson254@example.comNigeriaPanel: Women in Tech0.20833333333333347AVeganAttendee</v>
      </c>
      <c r="J446" t="str">
        <f>IF(COUNTIF(EDA_Table[Temp ID],EDA_Table[[#This Row],[Temp ID]])&gt;1,"Duplicate","Unique")</f>
        <v>Duplicate</v>
      </c>
    </row>
    <row r="447" spans="1:10">
      <c r="A447" t="s">
        <v>76</v>
      </c>
      <c r="B447" t="s">
        <v>636</v>
      </c>
      <c r="D447" t="s">
        <v>45</v>
      </c>
      <c r="E447" s="1">
        <v>0.45833333333333331</v>
      </c>
      <c r="F447" t="s">
        <v>635</v>
      </c>
      <c r="G447" t="s">
        <v>15</v>
      </c>
      <c r="H447" t="s">
        <v>39</v>
      </c>
      <c r="I44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Clarkchris.clark293@example.comKeynote: Future of Data0.45833333333333347AVegetarianAttendee</v>
      </c>
      <c r="J447" t="str">
        <f>IF(COUNTIF(EDA_Table[Temp ID],EDA_Table[[#This Row],[Temp ID]])&gt;1,"Duplicate","Unique")</f>
        <v>Unique</v>
      </c>
    </row>
    <row r="448" spans="1:10">
      <c r="A448" t="s">
        <v>92</v>
      </c>
      <c r="B448" t="s">
        <v>637</v>
      </c>
      <c r="C448" t="s">
        <v>78</v>
      </c>
      <c r="D448" t="s">
        <v>79</v>
      </c>
      <c r="E448" s="2">
        <v>0.5625</v>
      </c>
      <c r="F448" t="s">
        <v>635</v>
      </c>
      <c r="H448" t="s">
        <v>39</v>
      </c>
      <c r="I44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Brownjordan.brown675@example.comAustraliaPanel: Women in Tech0.562547AAttendee</v>
      </c>
      <c r="J448" t="str">
        <f>IF(COUNTIF(EDA_Table[Temp ID],EDA_Table[[#This Row],[Temp ID]])&gt;1,"Duplicate","Unique")</f>
        <v>Unique</v>
      </c>
    </row>
    <row r="449" spans="1:10">
      <c r="A449" t="s">
        <v>211</v>
      </c>
      <c r="B449" t="s">
        <v>638</v>
      </c>
      <c r="C449" t="s">
        <v>55</v>
      </c>
      <c r="E449" s="1">
        <v>0.85416666666666663</v>
      </c>
      <c r="F449" t="s">
        <v>639</v>
      </c>
      <c r="G449" t="s">
        <v>52</v>
      </c>
      <c r="H449" t="s">
        <v>39</v>
      </c>
      <c r="I44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Johnsonmorgan.johnson209@example.comBrazil0.85416666666666747BVeganAttendee</v>
      </c>
      <c r="J449" t="str">
        <f>IF(COUNTIF(EDA_Table[Temp ID],EDA_Table[[#This Row],[Temp ID]])&gt;1,"Duplicate","Unique")</f>
        <v>Unique</v>
      </c>
    </row>
    <row r="450" spans="1:10">
      <c r="A450" t="s">
        <v>366</v>
      </c>
      <c r="B450" t="s">
        <v>640</v>
      </c>
      <c r="C450" t="s">
        <v>78</v>
      </c>
      <c r="D450" t="s">
        <v>79</v>
      </c>
      <c r="E450" s="2">
        <v>2.0833333333333332E-2</v>
      </c>
      <c r="F450" t="s">
        <v>641</v>
      </c>
      <c r="G450" t="s">
        <v>19</v>
      </c>
      <c r="H450" t="s">
        <v>39</v>
      </c>
      <c r="I45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Johnsonjordan.johnson792@example.comAustraliaPanel: Women in Tech0.020833333333333347C Attendee</v>
      </c>
      <c r="J450" t="str">
        <f>IF(COUNTIF(EDA_Table[Temp ID],EDA_Table[[#This Row],[Temp ID]])&gt;1,"Duplicate","Unique")</f>
        <v>Duplicate</v>
      </c>
    </row>
    <row r="451" spans="1:10">
      <c r="A451" t="s">
        <v>205</v>
      </c>
      <c r="B451" t="s">
        <v>642</v>
      </c>
      <c r="C451" t="s">
        <v>101</v>
      </c>
      <c r="D451" t="s">
        <v>19</v>
      </c>
      <c r="E451" s="2">
        <v>0.60416666666666663</v>
      </c>
      <c r="F451" t="s">
        <v>641</v>
      </c>
      <c r="G451" t="s">
        <v>91</v>
      </c>
      <c r="H451" t="s">
        <v>39</v>
      </c>
      <c r="I45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Johnsondrew.johnson631@example.comJapan 0.60416666666666747CHalalAttendee</v>
      </c>
      <c r="J451" t="str">
        <f>IF(COUNTIF(EDA_Table[Temp ID],EDA_Table[[#This Row],[Temp ID]])&gt;1,"Duplicate","Unique")</f>
        <v>Unique</v>
      </c>
    </row>
    <row r="452" spans="1:10">
      <c r="A452" t="s">
        <v>366</v>
      </c>
      <c r="B452" t="s">
        <v>640</v>
      </c>
      <c r="C452" t="s">
        <v>78</v>
      </c>
      <c r="D452" t="s">
        <v>79</v>
      </c>
      <c r="E452" s="2">
        <v>2.0833333333333332E-2</v>
      </c>
      <c r="F452" t="s">
        <v>641</v>
      </c>
      <c r="G452" t="s">
        <v>19</v>
      </c>
      <c r="H452" t="s">
        <v>39</v>
      </c>
      <c r="I45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Johnsonjordan.johnson792@example.comAustraliaPanel: Women in Tech0.020833333333333347C Attendee</v>
      </c>
      <c r="J452" t="str">
        <f>IF(COUNTIF(EDA_Table[Temp ID],EDA_Table[[#This Row],[Temp ID]])&gt;1,"Duplicate","Unique")</f>
        <v>Duplicate</v>
      </c>
    </row>
    <row r="453" spans="1:10">
      <c r="A453" t="s">
        <v>159</v>
      </c>
      <c r="B453" t="s">
        <v>643</v>
      </c>
      <c r="C453" t="s">
        <v>27</v>
      </c>
      <c r="D453" t="s">
        <v>45</v>
      </c>
      <c r="E453" s="1">
        <v>0.47916666666666669</v>
      </c>
      <c r="F453" t="s">
        <v>644</v>
      </c>
      <c r="G453" t="s">
        <v>28</v>
      </c>
      <c r="H453" t="s">
        <v>39</v>
      </c>
      <c r="I45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Hallriley.hall37@example.comFranceKeynote: Future of Data0.47916666666666748AKosherAttendee</v>
      </c>
      <c r="J453" t="str">
        <f>IF(COUNTIF(EDA_Table[Temp ID],EDA_Table[[#This Row],[Temp ID]])&gt;1,"Duplicate","Unique")</f>
        <v>Unique</v>
      </c>
    </row>
    <row r="454" spans="1:10">
      <c r="A454" t="s">
        <v>59</v>
      </c>
      <c r="B454" t="s">
        <v>645</v>
      </c>
      <c r="C454" t="s">
        <v>78</v>
      </c>
      <c r="D454" t="s">
        <v>71</v>
      </c>
      <c r="E454" s="1">
        <v>0.89583333333333337</v>
      </c>
      <c r="F454" t="s">
        <v>644</v>
      </c>
      <c r="G454" t="s">
        <v>28</v>
      </c>
      <c r="H454" t="s">
        <v>39</v>
      </c>
      <c r="I45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Leecasey.lee133@example.comAustraliaWebinar: AI Ethics0.89583333333333348AKosherAttendee</v>
      </c>
      <c r="J454" t="str">
        <f>IF(COUNTIF(EDA_Table[Temp ID],EDA_Table[[#This Row],[Temp ID]])&gt;1,"Duplicate","Unique")</f>
        <v>Unique</v>
      </c>
    </row>
    <row r="455" spans="1:10">
      <c r="A455" t="s">
        <v>64</v>
      </c>
      <c r="B455" t="s">
        <v>646</v>
      </c>
      <c r="C455" t="s">
        <v>34</v>
      </c>
      <c r="D455" t="s">
        <v>71</v>
      </c>
      <c r="E455" s="2">
        <v>8.3333333333333329E-2</v>
      </c>
      <c r="F455" t="s">
        <v>644</v>
      </c>
      <c r="G455" t="s">
        <v>52</v>
      </c>
      <c r="H455" t="s">
        <v>39</v>
      </c>
      <c r="I45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Smithjamie.smith186@example.comGermanyWebinar: AI Ethics0.083333333333333348AVeganAttendee</v>
      </c>
      <c r="J455" t="str">
        <f>IF(COUNTIF(EDA_Table[Temp ID],EDA_Table[[#This Row],[Temp ID]])&gt;1,"Duplicate","Unique")</f>
        <v>Unique</v>
      </c>
    </row>
    <row r="456" spans="1:10">
      <c r="A456" t="s">
        <v>368</v>
      </c>
      <c r="B456" t="s">
        <v>647</v>
      </c>
      <c r="C456" t="s">
        <v>78</v>
      </c>
      <c r="D456" t="s">
        <v>45</v>
      </c>
      <c r="E456" s="1">
        <v>0.60416666666666663</v>
      </c>
      <c r="F456" t="s">
        <v>648</v>
      </c>
      <c r="G456" t="s">
        <v>28</v>
      </c>
      <c r="H456" t="s">
        <v>39</v>
      </c>
      <c r="I45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Clarkcasey.clark989@example.comAustraliaKeynote: Future of Data0.60416666666666748BKosherAttendee</v>
      </c>
      <c r="J456" t="str">
        <f>IF(COUNTIF(EDA_Table[Temp ID],EDA_Table[[#This Row],[Temp ID]])&gt;1,"Duplicate","Unique")</f>
        <v>Unique</v>
      </c>
    </row>
    <row r="457" spans="1:10">
      <c r="A457" t="s">
        <v>313</v>
      </c>
      <c r="B457" t="s">
        <v>649</v>
      </c>
      <c r="C457" t="s">
        <v>101</v>
      </c>
      <c r="D457" t="s">
        <v>19</v>
      </c>
      <c r="E457" s="2">
        <v>0.83333333333333337</v>
      </c>
      <c r="F457" t="s">
        <v>648</v>
      </c>
      <c r="G457" t="s">
        <v>52</v>
      </c>
      <c r="H457" t="s">
        <v>39</v>
      </c>
      <c r="I45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Browncasey.brown211@example.comJapan 0.83333333333333348BVeganAttendee</v>
      </c>
      <c r="J457" t="str">
        <f>IF(COUNTIF(EDA_Table[Temp ID],EDA_Table[[#This Row],[Temp ID]])&gt;1,"Duplicate","Unique")</f>
        <v>Unique</v>
      </c>
    </row>
    <row r="458" spans="1:10">
      <c r="A458" t="s">
        <v>598</v>
      </c>
      <c r="B458" t="s">
        <v>650</v>
      </c>
      <c r="C458" t="s">
        <v>96</v>
      </c>
      <c r="E458" s="1">
        <v>0.60416666666666663</v>
      </c>
      <c r="F458" t="s">
        <v>648</v>
      </c>
      <c r="G458" t="s">
        <v>52</v>
      </c>
      <c r="H458" t="s">
        <v>39</v>
      </c>
      <c r="I45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Allenjamie.allen446@example.comUnited Kingdom0.60416666666666748BVeganAttendee</v>
      </c>
      <c r="J458" t="str">
        <f>IF(COUNTIF(EDA_Table[Temp ID],EDA_Table[[#This Row],[Temp ID]])&gt;1,"Duplicate","Unique")</f>
        <v>Unique</v>
      </c>
    </row>
    <row r="459" spans="1:10">
      <c r="A459" t="s">
        <v>59</v>
      </c>
      <c r="B459" t="s">
        <v>651</v>
      </c>
      <c r="C459" t="s">
        <v>12</v>
      </c>
      <c r="D459" t="s">
        <v>19</v>
      </c>
      <c r="E459" s="2">
        <v>0.625</v>
      </c>
      <c r="F459" t="s">
        <v>652</v>
      </c>
      <c r="G459" t="s">
        <v>52</v>
      </c>
      <c r="H459" t="s">
        <v>39</v>
      </c>
      <c r="I45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Leecasey.lee957@example.comUnited States 0.62548CVeganAttendee</v>
      </c>
      <c r="J459" t="str">
        <f>IF(COUNTIF(EDA_Table[Temp ID],EDA_Table[[#This Row],[Temp ID]])&gt;1,"Duplicate","Unique")</f>
        <v>Unique</v>
      </c>
    </row>
    <row r="460" spans="1:10">
      <c r="A460" t="s">
        <v>393</v>
      </c>
      <c r="B460" t="s">
        <v>653</v>
      </c>
      <c r="C460" t="s">
        <v>34</v>
      </c>
      <c r="D460" t="s">
        <v>19</v>
      </c>
      <c r="E460" s="1">
        <v>0.70833333333333337</v>
      </c>
      <c r="F460" t="s">
        <v>652</v>
      </c>
      <c r="H460" t="s">
        <v>39</v>
      </c>
      <c r="I46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Halljamie.hall308@example.comGermany 0.70833333333333348CAttendee</v>
      </c>
      <c r="J460" t="str">
        <f>IF(COUNTIF(EDA_Table[Temp ID],EDA_Table[[#This Row],[Temp ID]])&gt;1,"Duplicate","Unique")</f>
        <v>Duplicate</v>
      </c>
    </row>
    <row r="461" spans="1:10">
      <c r="A461" t="s">
        <v>393</v>
      </c>
      <c r="B461" t="s">
        <v>653</v>
      </c>
      <c r="C461" t="s">
        <v>34</v>
      </c>
      <c r="D461" t="s">
        <v>19</v>
      </c>
      <c r="E461" s="1">
        <v>0.70833333333333337</v>
      </c>
      <c r="F461" t="s">
        <v>652</v>
      </c>
      <c r="H461" t="s">
        <v>39</v>
      </c>
      <c r="I46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Halljamie.hall308@example.comGermany 0.70833333333333348CAttendee</v>
      </c>
      <c r="J461" t="str">
        <f>IF(COUNTIF(EDA_Table[Temp ID],EDA_Table[[#This Row],[Temp ID]])&gt;1,"Duplicate","Unique")</f>
        <v>Duplicate</v>
      </c>
    </row>
    <row r="462" spans="1:10">
      <c r="A462" t="s">
        <v>619</v>
      </c>
      <c r="B462" t="s">
        <v>654</v>
      </c>
      <c r="C462" t="s">
        <v>78</v>
      </c>
      <c r="D462" t="s">
        <v>79</v>
      </c>
      <c r="E462" s="1">
        <v>0.125</v>
      </c>
      <c r="F462" t="s">
        <v>652</v>
      </c>
      <c r="G462" t="s">
        <v>31</v>
      </c>
      <c r="H462" t="s">
        <v>39</v>
      </c>
      <c r="I46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Allenmorgan.allen867@example.comAustraliaPanel: Women in Tech0.12548CNoneAttendee</v>
      </c>
      <c r="J462" t="str">
        <f>IF(COUNTIF(EDA_Table[Temp ID],EDA_Table[[#This Row],[Temp ID]])&gt;1,"Duplicate","Unique")</f>
        <v>Unique</v>
      </c>
    </row>
    <row r="463" spans="1:10">
      <c r="A463" t="s">
        <v>366</v>
      </c>
      <c r="B463" t="s">
        <v>655</v>
      </c>
      <c r="C463" t="s">
        <v>27</v>
      </c>
      <c r="D463" t="s">
        <v>50</v>
      </c>
      <c r="E463" s="1">
        <v>0.64583333333333337</v>
      </c>
      <c r="F463" t="s">
        <v>652</v>
      </c>
      <c r="G463" t="s">
        <v>28</v>
      </c>
      <c r="H463" t="s">
        <v>39</v>
      </c>
      <c r="I46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Johnsonjordan.johnson377@example.comFranceWorkshop: Excel Mastery0.64583333333333348CKosherAttendee</v>
      </c>
      <c r="J463" t="str">
        <f>IF(COUNTIF(EDA_Table[Temp ID],EDA_Table[[#This Row],[Temp ID]])&gt;1,"Duplicate","Unique")</f>
        <v>Unique</v>
      </c>
    </row>
    <row r="464" spans="1:10">
      <c r="A464" t="s">
        <v>389</v>
      </c>
      <c r="B464" t="s">
        <v>656</v>
      </c>
      <c r="C464" t="s">
        <v>96</v>
      </c>
      <c r="E464" s="1">
        <v>0.27083333333333331</v>
      </c>
      <c r="F464" t="s">
        <v>657</v>
      </c>
      <c r="G464" t="s">
        <v>15</v>
      </c>
      <c r="H464" t="s">
        <v>39</v>
      </c>
      <c r="I46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Johnsontaylor.johnson44@example.comUnited Kingdom0.27083333333333348DVegetarianAttendee</v>
      </c>
      <c r="J464" t="str">
        <f>IF(COUNTIF(EDA_Table[Temp ID],EDA_Table[[#This Row],[Temp ID]])&gt;1,"Duplicate","Unique")</f>
        <v>Duplicate</v>
      </c>
    </row>
    <row r="465" spans="1:10">
      <c r="A465" t="s">
        <v>389</v>
      </c>
      <c r="B465" t="s">
        <v>656</v>
      </c>
      <c r="C465" t="s">
        <v>96</v>
      </c>
      <c r="E465" s="1">
        <v>0.27083333333333331</v>
      </c>
      <c r="F465" t="s">
        <v>657</v>
      </c>
      <c r="G465" t="s">
        <v>15</v>
      </c>
      <c r="H465" t="s">
        <v>39</v>
      </c>
      <c r="I46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Johnsontaylor.johnson44@example.comUnited Kingdom0.27083333333333348DVegetarianAttendee</v>
      </c>
      <c r="J465" t="str">
        <f>IF(COUNTIF(EDA_Table[Temp ID],EDA_Table[[#This Row],[Temp ID]])&gt;1,"Duplicate","Unique")</f>
        <v>Duplicate</v>
      </c>
    </row>
    <row r="466" spans="1:10">
      <c r="A466" t="s">
        <v>168</v>
      </c>
      <c r="B466" t="s">
        <v>658</v>
      </c>
      <c r="C466" t="s">
        <v>112</v>
      </c>
      <c r="D466" t="s">
        <v>19</v>
      </c>
      <c r="E466" s="1">
        <v>0.66666666666666663</v>
      </c>
      <c r="F466" t="s">
        <v>657</v>
      </c>
      <c r="G466" t="s">
        <v>19</v>
      </c>
      <c r="H466" t="s">
        <v>39</v>
      </c>
      <c r="I46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Johnsonchris.johnson288@example.comNigeria 0.66666666666666748D Attendee</v>
      </c>
      <c r="J466" t="str">
        <f>IF(COUNTIF(EDA_Table[Temp ID],EDA_Table[[#This Row],[Temp ID]])&gt;1,"Duplicate","Unique")</f>
        <v>Unique</v>
      </c>
    </row>
    <row r="467" spans="1:10">
      <c r="A467" t="s">
        <v>69</v>
      </c>
      <c r="B467" t="s">
        <v>659</v>
      </c>
      <c r="C467" t="s">
        <v>55</v>
      </c>
      <c r="D467" t="s">
        <v>79</v>
      </c>
      <c r="E467" s="1">
        <v>0.4375</v>
      </c>
      <c r="F467" t="s">
        <v>660</v>
      </c>
      <c r="G467" t="s">
        <v>52</v>
      </c>
      <c r="H467" t="s">
        <v>39</v>
      </c>
      <c r="I46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Clarkmorgan.clark340@example.comBrazilPanel: Women in Tech0.437549AVeganAttendee</v>
      </c>
      <c r="J467" t="str">
        <f>IF(COUNTIF(EDA_Table[Temp ID],EDA_Table[[#This Row],[Temp ID]])&gt;1,"Duplicate","Unique")</f>
        <v>Unique</v>
      </c>
    </row>
    <row r="468" spans="1:10">
      <c r="A468" t="s">
        <v>416</v>
      </c>
      <c r="B468" t="s">
        <v>661</v>
      </c>
      <c r="E468" s="2">
        <v>0.60416666666666663</v>
      </c>
      <c r="F468" t="s">
        <v>660</v>
      </c>
      <c r="G468" t="s">
        <v>52</v>
      </c>
      <c r="H468" t="s">
        <v>39</v>
      </c>
      <c r="I46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Lewischris.lewis135@example.com0.60416666666666749AVeganAttendee</v>
      </c>
      <c r="J468" t="str">
        <f>IF(COUNTIF(EDA_Table[Temp ID],EDA_Table[[#This Row],[Temp ID]])&gt;1,"Duplicate","Unique")</f>
        <v>Unique</v>
      </c>
    </row>
    <row r="469" spans="1:10">
      <c r="A469" t="s">
        <v>207</v>
      </c>
      <c r="B469" t="s">
        <v>662</v>
      </c>
      <c r="C469" t="s">
        <v>68</v>
      </c>
      <c r="D469" t="s">
        <v>71</v>
      </c>
      <c r="E469" s="1">
        <v>0.10416666666666667</v>
      </c>
      <c r="F469" t="s">
        <v>663</v>
      </c>
      <c r="G469" t="s">
        <v>15</v>
      </c>
      <c r="H469" t="s">
        <v>39</v>
      </c>
      <c r="I46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Wilsonchris.wilson60@example.comIndiaWebinar: AI Ethics0.10416666666666749BVegetarianAttendee</v>
      </c>
      <c r="J469" t="str">
        <f>IF(COUNTIF(EDA_Table[Temp ID],EDA_Table[[#This Row],[Temp ID]])&gt;1,"Duplicate","Unique")</f>
        <v>Duplicate</v>
      </c>
    </row>
    <row r="470" spans="1:10">
      <c r="A470" t="s">
        <v>164</v>
      </c>
      <c r="B470" t="s">
        <v>664</v>
      </c>
      <c r="C470" t="s">
        <v>68</v>
      </c>
      <c r="D470" t="s">
        <v>45</v>
      </c>
      <c r="E470" s="1">
        <v>0.52083333333333337</v>
      </c>
      <c r="F470" t="s">
        <v>663</v>
      </c>
      <c r="H470" t="s">
        <v>39</v>
      </c>
      <c r="I47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Hallalex.hall971@example.comIndiaKeynote: Future of Data0.52083333333333349BAttendee</v>
      </c>
      <c r="J470" t="str">
        <f>IF(COUNTIF(EDA_Table[Temp ID],EDA_Table[[#This Row],[Temp ID]])&gt;1,"Duplicate","Unique")</f>
        <v>Duplicate</v>
      </c>
    </row>
    <row r="471" spans="1:10">
      <c r="A471" t="s">
        <v>207</v>
      </c>
      <c r="B471" t="s">
        <v>662</v>
      </c>
      <c r="C471" t="s">
        <v>68</v>
      </c>
      <c r="D471" t="s">
        <v>71</v>
      </c>
      <c r="E471" s="1">
        <v>0.10416666666666667</v>
      </c>
      <c r="F471" t="s">
        <v>663</v>
      </c>
      <c r="G471" t="s">
        <v>15</v>
      </c>
      <c r="H471" t="s">
        <v>39</v>
      </c>
      <c r="I47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Wilsonchris.wilson60@example.comIndiaWebinar: AI Ethics0.10416666666666749BVegetarianAttendee</v>
      </c>
      <c r="J471" t="str">
        <f>IF(COUNTIF(EDA_Table[Temp ID],EDA_Table[[#This Row],[Temp ID]])&gt;1,"Duplicate","Unique")</f>
        <v>Duplicate</v>
      </c>
    </row>
    <row r="472" spans="1:10">
      <c r="A472" t="s">
        <v>168</v>
      </c>
      <c r="B472" t="s">
        <v>665</v>
      </c>
      <c r="C472" t="s">
        <v>37</v>
      </c>
      <c r="E472" s="1">
        <v>0.25</v>
      </c>
      <c r="F472" t="s">
        <v>663</v>
      </c>
      <c r="G472" t="s">
        <v>15</v>
      </c>
      <c r="H472" t="s">
        <v>39</v>
      </c>
      <c r="I47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Johnsonchris.johnson237@example.comCanada0.2549BVegetarianAttendee</v>
      </c>
      <c r="J472" t="str">
        <f>IF(COUNTIF(EDA_Table[Temp ID],EDA_Table[[#This Row],[Temp ID]])&gt;1,"Duplicate","Unique")</f>
        <v>Unique</v>
      </c>
    </row>
    <row r="473" spans="1:10">
      <c r="A473" t="s">
        <v>214</v>
      </c>
      <c r="B473" t="s">
        <v>666</v>
      </c>
      <c r="D473" t="s">
        <v>50</v>
      </c>
      <c r="E473" s="1">
        <v>0.3125</v>
      </c>
      <c r="F473" t="s">
        <v>663</v>
      </c>
      <c r="G473" t="s">
        <v>28</v>
      </c>
      <c r="H473" t="s">
        <v>39</v>
      </c>
      <c r="I47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Clarkjordan.clark681@example.comWorkshop: Excel Mastery0.312549BKosherAttendee</v>
      </c>
      <c r="J473" t="str">
        <f>IF(COUNTIF(EDA_Table[Temp ID],EDA_Table[[#This Row],[Temp ID]])&gt;1,"Duplicate","Unique")</f>
        <v>Unique</v>
      </c>
    </row>
    <row r="474" spans="1:10">
      <c r="A474" t="s">
        <v>164</v>
      </c>
      <c r="B474" t="s">
        <v>664</v>
      </c>
      <c r="C474" t="s">
        <v>68</v>
      </c>
      <c r="D474" t="s">
        <v>45</v>
      </c>
      <c r="E474" s="1">
        <v>0.52083333333333337</v>
      </c>
      <c r="F474" t="s">
        <v>663</v>
      </c>
      <c r="H474" t="s">
        <v>39</v>
      </c>
      <c r="I47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Hallalex.hall971@example.comIndiaKeynote: Future of Data0.52083333333333349BAttendee</v>
      </c>
      <c r="J474" t="str">
        <f>IF(COUNTIF(EDA_Table[Temp ID],EDA_Table[[#This Row],[Temp ID]])&gt;1,"Duplicate","Unique")</f>
        <v>Duplicate</v>
      </c>
    </row>
    <row r="475" spans="1:10">
      <c r="A475" t="s">
        <v>22</v>
      </c>
      <c r="B475" t="s">
        <v>667</v>
      </c>
      <c r="C475" t="s">
        <v>19</v>
      </c>
      <c r="D475" t="s">
        <v>50</v>
      </c>
      <c r="E475" s="1">
        <v>0.72916666666666663</v>
      </c>
      <c r="F475" t="s">
        <v>663</v>
      </c>
      <c r="H475" t="s">
        <v>39</v>
      </c>
      <c r="I47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Hallmorgan.hall485@example.com Workshop: Excel Mastery0.72916666666666749BAttendee</v>
      </c>
      <c r="J475" t="str">
        <f>IF(COUNTIF(EDA_Table[Temp ID],EDA_Table[[#This Row],[Temp ID]])&gt;1,"Duplicate","Unique")</f>
        <v>Unique</v>
      </c>
    </row>
    <row r="476" spans="1:10">
      <c r="A476" t="s">
        <v>632</v>
      </c>
      <c r="B476" t="s">
        <v>668</v>
      </c>
      <c r="C476" t="s">
        <v>101</v>
      </c>
      <c r="D476" t="s">
        <v>50</v>
      </c>
      <c r="E476" s="2">
        <v>2.0833333333333332E-2</v>
      </c>
      <c r="F476" t="s">
        <v>663</v>
      </c>
      <c r="G476" t="s">
        <v>52</v>
      </c>
      <c r="H476" t="s">
        <v>39</v>
      </c>
      <c r="I47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Smithcasey.smith39@example.comJapanWorkshop: Excel Mastery0.020833333333333349BVeganAttendee</v>
      </c>
      <c r="J476" t="str">
        <f>IF(COUNTIF(EDA_Table[Temp ID],EDA_Table[[#This Row],[Temp ID]])&gt;1,"Duplicate","Unique")</f>
        <v>Unique</v>
      </c>
    </row>
    <row r="477" spans="1:10">
      <c r="A477" t="s">
        <v>35</v>
      </c>
      <c r="B477" t="s">
        <v>669</v>
      </c>
      <c r="C477" t="s">
        <v>19</v>
      </c>
      <c r="E477" s="2">
        <v>0.91666666666666663</v>
      </c>
      <c r="F477" t="s">
        <v>670</v>
      </c>
      <c r="G477" t="s">
        <v>31</v>
      </c>
      <c r="H477" t="s">
        <v>39</v>
      </c>
      <c r="I47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Halltaylor.hall556@example.com 0.91666666666666749CNoneAttendee</v>
      </c>
      <c r="J477" t="str">
        <f>IF(COUNTIF(EDA_Table[Temp ID],EDA_Table[[#This Row],[Temp ID]])&gt;1,"Duplicate","Unique")</f>
        <v>Unique</v>
      </c>
    </row>
    <row r="478" spans="1:10">
      <c r="A478" t="s">
        <v>202</v>
      </c>
      <c r="B478" t="s">
        <v>671</v>
      </c>
      <c r="C478" t="s">
        <v>19</v>
      </c>
      <c r="D478" t="s">
        <v>79</v>
      </c>
      <c r="E478" s="2">
        <v>0.5</v>
      </c>
      <c r="F478" t="s">
        <v>670</v>
      </c>
      <c r="G478" t="s">
        <v>31</v>
      </c>
      <c r="H478" t="s">
        <v>39</v>
      </c>
      <c r="I47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Jesse Leejesse.lee321@example.com Panel: Women in Tech0.549CNoneAttendee</v>
      </c>
      <c r="J478" t="str">
        <f>IF(COUNTIF(EDA_Table[Temp ID],EDA_Table[[#This Row],[Temp ID]])&gt;1,"Duplicate","Unique")</f>
        <v>Unique</v>
      </c>
    </row>
    <row r="479" spans="1:10">
      <c r="A479" t="s">
        <v>69</v>
      </c>
      <c r="B479" t="s">
        <v>672</v>
      </c>
      <c r="C479" t="s">
        <v>12</v>
      </c>
      <c r="D479" t="s">
        <v>50</v>
      </c>
      <c r="E479" s="1">
        <v>0</v>
      </c>
      <c r="F479" t="s">
        <v>673</v>
      </c>
      <c r="G479" t="s">
        <v>15</v>
      </c>
      <c r="H479" t="s">
        <v>39</v>
      </c>
      <c r="I47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Clarkmorgan.clark311@example.comUnited StatesWorkshop: Excel Mastery049DVegetarianAttendee</v>
      </c>
      <c r="J479" t="str">
        <f>IF(COUNTIF(EDA_Table[Temp ID],EDA_Table[[#This Row],[Temp ID]])&gt;1,"Duplicate","Unique")</f>
        <v>Unique</v>
      </c>
    </row>
    <row r="480" spans="1:10">
      <c r="A480" t="s">
        <v>183</v>
      </c>
      <c r="B480" t="s">
        <v>674</v>
      </c>
      <c r="C480" t="s">
        <v>37</v>
      </c>
      <c r="D480" t="s">
        <v>13</v>
      </c>
      <c r="E480" s="1">
        <v>0.875</v>
      </c>
      <c r="F480" t="s">
        <v>673</v>
      </c>
      <c r="G480" t="s">
        <v>15</v>
      </c>
      <c r="H480" t="s">
        <v>39</v>
      </c>
      <c r="I48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Walkermorgan.walker307@example.comCanadaTraining: Dashboard Design0.87549DVegetarianAttendee</v>
      </c>
      <c r="J480" t="str">
        <f>IF(COUNTIF(EDA_Table[Temp ID],EDA_Table[[#This Row],[Temp ID]])&gt;1,"Duplicate","Unique")</f>
        <v>Unique</v>
      </c>
    </row>
    <row r="481" spans="1:10">
      <c r="A481" t="s">
        <v>366</v>
      </c>
      <c r="B481" t="s">
        <v>675</v>
      </c>
      <c r="C481" t="s">
        <v>68</v>
      </c>
      <c r="D481" t="s">
        <v>13</v>
      </c>
      <c r="E481" s="2">
        <v>0.35416666666666669</v>
      </c>
      <c r="F481" t="s">
        <v>676</v>
      </c>
      <c r="G481" t="s">
        <v>19</v>
      </c>
      <c r="H481" t="s">
        <v>39</v>
      </c>
      <c r="I48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Johnsonjordan.johnson660@example.comIndiaTraining: Dashboard Design0.3541666666666674A Attendee</v>
      </c>
      <c r="J481" t="str">
        <f>IF(COUNTIF(EDA_Table[Temp ID],EDA_Table[[#This Row],[Temp ID]])&gt;1,"Duplicate","Unique")</f>
        <v>Unique</v>
      </c>
    </row>
    <row r="482" spans="1:10">
      <c r="A482" t="s">
        <v>48</v>
      </c>
      <c r="B482" t="s">
        <v>677</v>
      </c>
      <c r="C482" t="s">
        <v>27</v>
      </c>
      <c r="D482" t="s">
        <v>79</v>
      </c>
      <c r="E482" s="2">
        <v>0.14583333333333334</v>
      </c>
      <c r="F482" t="s">
        <v>676</v>
      </c>
      <c r="G482" t="s">
        <v>28</v>
      </c>
      <c r="H482" t="s">
        <v>39</v>
      </c>
      <c r="I48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Clarkjamie.clark267@example.comFrancePanel: Women in Tech0.1458333333333334AKosherAttendee</v>
      </c>
      <c r="J482" t="str">
        <f>IF(COUNTIF(EDA_Table[Temp ID],EDA_Table[[#This Row],[Temp ID]])&gt;1,"Duplicate","Unique")</f>
        <v>Unique</v>
      </c>
    </row>
    <row r="483" spans="1:10">
      <c r="A483" t="s">
        <v>190</v>
      </c>
      <c r="B483" t="s">
        <v>678</v>
      </c>
      <c r="C483" t="s">
        <v>78</v>
      </c>
      <c r="D483" t="s">
        <v>79</v>
      </c>
      <c r="E483" s="1">
        <v>0.33333333333333331</v>
      </c>
      <c r="F483" t="s">
        <v>679</v>
      </c>
      <c r="G483" t="s">
        <v>15</v>
      </c>
      <c r="H483" t="s">
        <v>39</v>
      </c>
      <c r="I48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Johnsoncasey.johnson771@example.comAustraliaPanel: Women in Tech0.3333333333333334CVegetarianAttendee</v>
      </c>
      <c r="J483" t="str">
        <f>IF(COUNTIF(EDA_Table[Temp ID],EDA_Table[[#This Row],[Temp ID]])&gt;1,"Duplicate","Unique")</f>
        <v>Duplicate</v>
      </c>
    </row>
    <row r="484" spans="1:10">
      <c r="A484" t="s">
        <v>168</v>
      </c>
      <c r="B484" t="s">
        <v>680</v>
      </c>
      <c r="C484" t="s">
        <v>101</v>
      </c>
      <c r="D484" t="s">
        <v>71</v>
      </c>
      <c r="E484" s="1">
        <v>0.47916666666666669</v>
      </c>
      <c r="F484" t="s">
        <v>679</v>
      </c>
      <c r="H484" t="s">
        <v>39</v>
      </c>
      <c r="I48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Johnsonchris.johnson63@example.comJapanWebinar: AI Ethics0.4791666666666674CAttendee</v>
      </c>
      <c r="J484" t="str">
        <f>IF(COUNTIF(EDA_Table[Temp ID],EDA_Table[[#This Row],[Temp ID]])&gt;1,"Duplicate","Unique")</f>
        <v>Unique</v>
      </c>
    </row>
    <row r="485" spans="1:10">
      <c r="A485" t="s">
        <v>190</v>
      </c>
      <c r="B485" t="s">
        <v>678</v>
      </c>
      <c r="C485" t="s">
        <v>78</v>
      </c>
      <c r="D485" t="s">
        <v>79</v>
      </c>
      <c r="E485" s="1">
        <v>0.33333333333333331</v>
      </c>
      <c r="F485" t="s">
        <v>679</v>
      </c>
      <c r="G485" t="s">
        <v>15</v>
      </c>
      <c r="H485" t="s">
        <v>39</v>
      </c>
      <c r="I48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Johnsoncasey.johnson771@example.comAustraliaPanel: Women in Tech0.3333333333333334CVegetarianAttendee</v>
      </c>
      <c r="J485" t="str">
        <f>IF(COUNTIF(EDA_Table[Temp ID],EDA_Table[[#This Row],[Temp ID]])&gt;1,"Duplicate","Unique")</f>
        <v>Duplicate</v>
      </c>
    </row>
    <row r="486" spans="1:10">
      <c r="A486" t="s">
        <v>40</v>
      </c>
      <c r="B486" t="s">
        <v>681</v>
      </c>
      <c r="C486" t="s">
        <v>34</v>
      </c>
      <c r="D486" t="s">
        <v>50</v>
      </c>
      <c r="E486" s="1">
        <v>0.54166666666666663</v>
      </c>
      <c r="F486" t="s">
        <v>679</v>
      </c>
      <c r="H486" t="s">
        <v>39</v>
      </c>
      <c r="I48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Allendrew.allen30@example.comGermanyWorkshop: Excel Mastery0.5416666666666674CAttendee</v>
      </c>
      <c r="J486" t="str">
        <f>IF(COUNTIF(EDA_Table[Temp ID],EDA_Table[[#This Row],[Temp ID]])&gt;1,"Duplicate","Unique")</f>
        <v>Unique</v>
      </c>
    </row>
    <row r="487" spans="1:10">
      <c r="A487" t="s">
        <v>114</v>
      </c>
      <c r="B487" t="s">
        <v>682</v>
      </c>
      <c r="C487" t="s">
        <v>27</v>
      </c>
      <c r="D487" t="s">
        <v>45</v>
      </c>
      <c r="E487" s="2">
        <v>0.58333333333333337</v>
      </c>
      <c r="F487" t="s">
        <v>683</v>
      </c>
      <c r="G487" t="s">
        <v>19</v>
      </c>
      <c r="H487" t="s">
        <v>39</v>
      </c>
      <c r="I48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Wilsondrew.wilson969@example.comFranceKeynote: Future of Data0.5833333333333334D Attendee</v>
      </c>
      <c r="J487" t="str">
        <f>IF(COUNTIF(EDA_Table[Temp ID],EDA_Table[[#This Row],[Temp ID]])&gt;1,"Duplicate","Unique")</f>
        <v>Unique</v>
      </c>
    </row>
    <row r="488" spans="1:10">
      <c r="A488" t="s">
        <v>138</v>
      </c>
      <c r="B488" t="s">
        <v>684</v>
      </c>
      <c r="C488" t="s">
        <v>112</v>
      </c>
      <c r="D488" t="s">
        <v>13</v>
      </c>
      <c r="E488" s="1">
        <v>0.33333333333333331</v>
      </c>
      <c r="F488" t="s">
        <v>683</v>
      </c>
      <c r="G488" t="s">
        <v>19</v>
      </c>
      <c r="H488" t="s">
        <v>39</v>
      </c>
      <c r="I48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Jesse Brownjesse.brown791@example.comNigeriaTraining: Dashboard Design0.3333333333333334D Attendee</v>
      </c>
      <c r="J488" t="str">
        <f>IF(COUNTIF(EDA_Table[Temp ID],EDA_Table[[#This Row],[Temp ID]])&gt;1,"Duplicate","Unique")</f>
        <v>Unique</v>
      </c>
    </row>
    <row r="489" spans="1:10">
      <c r="A489" t="s">
        <v>190</v>
      </c>
      <c r="B489" t="s">
        <v>685</v>
      </c>
      <c r="E489" s="1">
        <v>0.47916666666666669</v>
      </c>
      <c r="F489" t="s">
        <v>686</v>
      </c>
      <c r="G489" t="s">
        <v>15</v>
      </c>
      <c r="H489" t="s">
        <v>21</v>
      </c>
      <c r="I48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Johnsoncasey.johnson948@example.com0.47916666666666750AVegetarianSpeaker</v>
      </c>
      <c r="J489" t="str">
        <f>IF(COUNTIF(EDA_Table[Temp ID],EDA_Table[[#This Row],[Temp ID]])&gt;1,"Duplicate","Unique")</f>
        <v>Unique</v>
      </c>
    </row>
    <row r="490" spans="1:10">
      <c r="A490" t="s">
        <v>197</v>
      </c>
      <c r="B490" t="s">
        <v>687</v>
      </c>
      <c r="C490" t="s">
        <v>112</v>
      </c>
      <c r="D490" t="s">
        <v>50</v>
      </c>
      <c r="E490" s="2">
        <v>0.91666666666666663</v>
      </c>
      <c r="F490" t="s">
        <v>686</v>
      </c>
      <c r="G490" t="s">
        <v>28</v>
      </c>
      <c r="H490" t="s">
        <v>39</v>
      </c>
      <c r="I49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Lewisjamie.lewis584@example.comNigeriaWorkshop: Excel Mastery0.91666666666666750AKosherAttendee</v>
      </c>
      <c r="J490" t="str">
        <f>IF(COUNTIF(EDA_Table[Temp ID],EDA_Table[[#This Row],[Temp ID]])&gt;1,"Duplicate","Unique")</f>
        <v>Unique</v>
      </c>
    </row>
    <row r="491" spans="1:10">
      <c r="A491" t="s">
        <v>92</v>
      </c>
      <c r="B491" t="s">
        <v>688</v>
      </c>
      <c r="C491" t="s">
        <v>27</v>
      </c>
      <c r="E491" s="2">
        <v>0.16666666666666666</v>
      </c>
      <c r="F491" t="s">
        <v>686</v>
      </c>
      <c r="H491" t="s">
        <v>39</v>
      </c>
      <c r="I49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Brownjordan.brown856@example.comFrance0.16666666666666750AAttendee</v>
      </c>
      <c r="J491" t="str">
        <f>IF(COUNTIF(EDA_Table[Temp ID],EDA_Table[[#This Row],[Temp ID]])&gt;1,"Duplicate","Unique")</f>
        <v>Unique</v>
      </c>
    </row>
    <row r="492" spans="1:10">
      <c r="A492" t="s">
        <v>114</v>
      </c>
      <c r="B492" t="s">
        <v>689</v>
      </c>
      <c r="C492" t="s">
        <v>112</v>
      </c>
      <c r="D492" t="s">
        <v>45</v>
      </c>
      <c r="E492" s="1">
        <v>0.58333333333333337</v>
      </c>
      <c r="F492" t="s">
        <v>690</v>
      </c>
      <c r="G492" t="s">
        <v>15</v>
      </c>
      <c r="H492" t="s">
        <v>39</v>
      </c>
      <c r="I49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Wilsondrew.wilson97@example.comNigeriaKeynote: Future of Data0.58333333333333350BVegetarianAttendee</v>
      </c>
      <c r="J492" t="str">
        <f>IF(COUNTIF(EDA_Table[Temp ID],EDA_Table[[#This Row],[Temp ID]])&gt;1,"Duplicate","Unique")</f>
        <v>Unique</v>
      </c>
    </row>
    <row r="493" spans="1:10">
      <c r="A493" t="s">
        <v>183</v>
      </c>
      <c r="B493" t="s">
        <v>691</v>
      </c>
      <c r="C493" t="s">
        <v>96</v>
      </c>
      <c r="D493" t="s">
        <v>19</v>
      </c>
      <c r="E493" s="2">
        <v>0.20833333333333334</v>
      </c>
      <c r="F493" t="s">
        <v>690</v>
      </c>
      <c r="G493" t="s">
        <v>91</v>
      </c>
      <c r="H493" t="s">
        <v>39</v>
      </c>
      <c r="I49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Walkermorgan.walker717@example.comUnited Kingdom 0.20833333333333350BHalalAttendee</v>
      </c>
      <c r="J493" t="str">
        <f>IF(COUNTIF(EDA_Table[Temp ID],EDA_Table[[#This Row],[Temp ID]])&gt;1,"Duplicate","Unique")</f>
        <v>Unique</v>
      </c>
    </row>
    <row r="494" spans="1:10">
      <c r="A494" t="s">
        <v>507</v>
      </c>
      <c r="B494" t="s">
        <v>692</v>
      </c>
      <c r="D494" t="s">
        <v>45</v>
      </c>
      <c r="E494" s="1">
        <v>0.85416666666666663</v>
      </c>
      <c r="F494" t="s">
        <v>690</v>
      </c>
      <c r="G494" t="s">
        <v>31</v>
      </c>
      <c r="H494" t="s">
        <v>39</v>
      </c>
      <c r="I49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Leejamie.lee321@example.comKeynote: Future of Data0.85416666666666750BNoneAttendee</v>
      </c>
      <c r="J494" t="str">
        <f>IF(COUNTIF(EDA_Table[Temp ID],EDA_Table[[#This Row],[Temp ID]])&gt;1,"Duplicate","Unique")</f>
        <v>Unique</v>
      </c>
    </row>
    <row r="495" spans="1:10">
      <c r="A495" t="s">
        <v>29</v>
      </c>
      <c r="B495" t="s">
        <v>693</v>
      </c>
      <c r="C495" t="s">
        <v>101</v>
      </c>
      <c r="D495" t="s">
        <v>13</v>
      </c>
      <c r="E495" s="1">
        <v>0.77083333333333337</v>
      </c>
      <c r="F495" t="s">
        <v>694</v>
      </c>
      <c r="G495" t="s">
        <v>15</v>
      </c>
      <c r="H495" t="s">
        <v>39</v>
      </c>
      <c r="I49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Hallchris.hall916@example.comJapanTraining: Dashboard Design0.77083333333333350CVegetarianAttendee</v>
      </c>
      <c r="J495" t="str">
        <f>IF(COUNTIF(EDA_Table[Temp ID],EDA_Table[[#This Row],[Temp ID]])&gt;1,"Duplicate","Unique")</f>
        <v>Duplicate</v>
      </c>
    </row>
    <row r="496" spans="1:10">
      <c r="A496" t="s">
        <v>29</v>
      </c>
      <c r="B496" t="s">
        <v>693</v>
      </c>
      <c r="C496" t="s">
        <v>101</v>
      </c>
      <c r="D496" t="s">
        <v>13</v>
      </c>
      <c r="E496" s="1">
        <v>0.77083333333333337</v>
      </c>
      <c r="F496" t="s">
        <v>694</v>
      </c>
      <c r="G496" t="s">
        <v>15</v>
      </c>
      <c r="H496" t="s">
        <v>39</v>
      </c>
      <c r="I49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Hallchris.hall916@example.comJapanTraining: Dashboard Design0.77083333333333350CVegetarianAttendee</v>
      </c>
      <c r="J496" t="str">
        <f>IF(COUNTIF(EDA_Table[Temp ID],EDA_Table[[#This Row],[Temp ID]])&gt;1,"Duplicate","Unique")</f>
        <v>Duplicate</v>
      </c>
    </row>
    <row r="497" spans="1:10">
      <c r="A497" t="s">
        <v>307</v>
      </c>
      <c r="B497" t="s">
        <v>695</v>
      </c>
      <c r="C497" t="s">
        <v>96</v>
      </c>
      <c r="D497" t="s">
        <v>50</v>
      </c>
      <c r="E497" s="1">
        <v>0.75</v>
      </c>
      <c r="F497" t="s">
        <v>694</v>
      </c>
      <c r="G497" t="s">
        <v>52</v>
      </c>
      <c r="H497" t="s">
        <v>39</v>
      </c>
      <c r="I49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Clarkdrew.clark398@example.comUnited KingdomWorkshop: Excel Mastery0.7550CVeganAttendee</v>
      </c>
      <c r="J497" t="str">
        <f>IF(COUNTIF(EDA_Table[Temp ID],EDA_Table[[#This Row],[Temp ID]])&gt;1,"Duplicate","Unique")</f>
        <v>Unique</v>
      </c>
    </row>
    <row r="498" spans="1:10">
      <c r="A498" t="s">
        <v>310</v>
      </c>
      <c r="B498" t="s">
        <v>696</v>
      </c>
      <c r="C498" t="s">
        <v>12</v>
      </c>
      <c r="D498" t="s">
        <v>45</v>
      </c>
      <c r="E498" s="1">
        <v>0.47916666666666669</v>
      </c>
      <c r="F498" t="s">
        <v>697</v>
      </c>
      <c r="G498" t="s">
        <v>31</v>
      </c>
      <c r="H498" t="s">
        <v>39</v>
      </c>
      <c r="I49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Jesse Smithjesse.smith846@example.comUnited StatesKeynote: Future of Data0.47916666666666750DNoneAttendee</v>
      </c>
      <c r="J498" t="str">
        <f>IF(COUNTIF(EDA_Table[Temp ID],EDA_Table[[#This Row],[Temp ID]])&gt;1,"Duplicate","Unique")</f>
        <v>Unique</v>
      </c>
    </row>
    <row r="499" spans="1:10">
      <c r="A499" t="s">
        <v>127</v>
      </c>
      <c r="B499" t="s">
        <v>698</v>
      </c>
      <c r="D499" t="s">
        <v>79</v>
      </c>
      <c r="E499" s="1">
        <v>0.5625</v>
      </c>
      <c r="F499" t="s">
        <v>697</v>
      </c>
      <c r="G499" t="s">
        <v>19</v>
      </c>
      <c r="H499" t="s">
        <v>39</v>
      </c>
      <c r="I49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Lewiscasey.lewis980@example.comPanel: Women in Tech0.562550D Attendee</v>
      </c>
      <c r="J499" t="str">
        <f>IF(COUNTIF(EDA_Table[Temp ID],EDA_Table[[#This Row],[Temp ID]])&gt;1,"Duplicate","Unique")</f>
        <v>Duplicate</v>
      </c>
    </row>
    <row r="500" spans="1:10">
      <c r="A500" t="s">
        <v>127</v>
      </c>
      <c r="B500" t="s">
        <v>698</v>
      </c>
      <c r="D500" t="s">
        <v>79</v>
      </c>
      <c r="E500" s="1">
        <v>0.5625</v>
      </c>
      <c r="F500" t="s">
        <v>697</v>
      </c>
      <c r="G500" t="s">
        <v>19</v>
      </c>
      <c r="H500" t="s">
        <v>39</v>
      </c>
      <c r="I50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Lewiscasey.lewis980@example.comPanel: Women in Tech0.562550D Attendee</v>
      </c>
      <c r="J500" t="str">
        <f>IF(COUNTIF(EDA_Table[Temp ID],EDA_Table[[#This Row],[Temp ID]])&gt;1,"Duplicate","Unique")</f>
        <v>Duplicate</v>
      </c>
    </row>
    <row r="501" spans="1:10">
      <c r="A501" t="s">
        <v>119</v>
      </c>
      <c r="B501" t="s">
        <v>699</v>
      </c>
      <c r="E501" s="1">
        <v>0.4375</v>
      </c>
      <c r="F501" t="s">
        <v>700</v>
      </c>
      <c r="G501" t="s">
        <v>52</v>
      </c>
      <c r="H501" t="s">
        <v>39</v>
      </c>
      <c r="I50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Lewismorgan.lewis382@example.com0.43755AVeganAttendee</v>
      </c>
      <c r="J501" t="str">
        <f>IF(COUNTIF(EDA_Table[Temp ID],EDA_Table[[#This Row],[Temp ID]])&gt;1,"Duplicate","Unique")</f>
        <v>Unique</v>
      </c>
    </row>
    <row r="502" spans="1:10">
      <c r="A502" t="s">
        <v>121</v>
      </c>
      <c r="B502" t="s">
        <v>701</v>
      </c>
      <c r="C502" t="s">
        <v>101</v>
      </c>
      <c r="E502" s="1">
        <v>0.83333333333333337</v>
      </c>
      <c r="F502" t="s">
        <v>700</v>
      </c>
      <c r="G502" t="s">
        <v>91</v>
      </c>
      <c r="H502" t="s">
        <v>39</v>
      </c>
      <c r="I50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Jesse Lewisjesse.lewis375@example.comJapan0.8333333333333335AHalalAttendee</v>
      </c>
      <c r="J502" t="str">
        <f>IF(COUNTIF(EDA_Table[Temp ID],EDA_Table[[#This Row],[Temp ID]])&gt;1,"Duplicate","Unique")</f>
        <v>Unique</v>
      </c>
    </row>
    <row r="503" spans="1:10">
      <c r="A503" t="s">
        <v>48</v>
      </c>
      <c r="B503" t="s">
        <v>702</v>
      </c>
      <c r="C503" t="s">
        <v>96</v>
      </c>
      <c r="D503" t="s">
        <v>50</v>
      </c>
      <c r="E503" s="2">
        <v>0.16666666666666666</v>
      </c>
      <c r="F503" t="s">
        <v>700</v>
      </c>
      <c r="G503" t="s">
        <v>31</v>
      </c>
      <c r="H503" t="s">
        <v>39</v>
      </c>
      <c r="I50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Clarkjamie.clark903@example.comUnited KingdomWorkshop: Excel Mastery0.1666666666666675ANoneAttendee</v>
      </c>
      <c r="J503" t="str">
        <f>IF(COUNTIF(EDA_Table[Temp ID],EDA_Table[[#This Row],[Temp ID]])&gt;1,"Duplicate","Unique")</f>
        <v>Unique</v>
      </c>
    </row>
    <row r="504" spans="1:10">
      <c r="A504" t="s">
        <v>494</v>
      </c>
      <c r="B504" t="s">
        <v>703</v>
      </c>
      <c r="C504" t="s">
        <v>101</v>
      </c>
      <c r="D504" t="s">
        <v>13</v>
      </c>
      <c r="E504" s="1">
        <v>0.83333333333333337</v>
      </c>
      <c r="F504" t="s">
        <v>700</v>
      </c>
      <c r="G504" t="s">
        <v>91</v>
      </c>
      <c r="H504" t="s">
        <v>39</v>
      </c>
      <c r="I50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Lewisriley.lewis360@example.comJapanTraining: Dashboard Design0.8333333333333335AHalalAttendee</v>
      </c>
      <c r="J504" t="str">
        <f>IF(COUNTIF(EDA_Table[Temp ID],EDA_Table[[#This Row],[Temp ID]])&gt;1,"Duplicate","Unique")</f>
        <v>Unique</v>
      </c>
    </row>
    <row r="505" spans="1:10">
      <c r="A505" t="s">
        <v>140</v>
      </c>
      <c r="B505" t="s">
        <v>704</v>
      </c>
      <c r="C505" t="s">
        <v>96</v>
      </c>
      <c r="D505" t="s">
        <v>71</v>
      </c>
      <c r="E505" s="2">
        <v>0.5</v>
      </c>
      <c r="F505" t="s">
        <v>705</v>
      </c>
      <c r="G505" t="s">
        <v>52</v>
      </c>
      <c r="H505" t="s">
        <v>39</v>
      </c>
      <c r="I50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Jordan Allenjordan.allen27@example.comUnited KingdomWebinar: AI Ethics0.55BVeganAttendee</v>
      </c>
      <c r="J505" t="str">
        <f>IF(COUNTIF(EDA_Table[Temp ID],EDA_Table[[#This Row],[Temp ID]])&gt;1,"Duplicate","Unique")</f>
        <v>Unique</v>
      </c>
    </row>
    <row r="506" spans="1:10">
      <c r="A506" t="s">
        <v>147</v>
      </c>
      <c r="B506" t="s">
        <v>706</v>
      </c>
      <c r="C506" t="s">
        <v>19</v>
      </c>
      <c r="D506" t="s">
        <v>79</v>
      </c>
      <c r="E506" s="1">
        <v>0.60416666666666663</v>
      </c>
      <c r="F506" t="s">
        <v>707</v>
      </c>
      <c r="G506" t="s">
        <v>31</v>
      </c>
      <c r="H506" t="s">
        <v>39</v>
      </c>
      <c r="I50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Browntaylor.brown513@example.com Panel: Women in Tech0.6041666666666675CNoneAttendee</v>
      </c>
      <c r="J506" t="str">
        <f>IF(COUNTIF(EDA_Table[Temp ID],EDA_Table[[#This Row],[Temp ID]])&gt;1,"Duplicate","Unique")</f>
        <v>Duplicate</v>
      </c>
    </row>
    <row r="507" spans="1:10">
      <c r="A507" t="s">
        <v>43</v>
      </c>
      <c r="B507" t="s">
        <v>708</v>
      </c>
      <c r="D507" t="s">
        <v>50</v>
      </c>
      <c r="E507" s="2">
        <v>0.4375</v>
      </c>
      <c r="F507" t="s">
        <v>707</v>
      </c>
      <c r="G507" t="s">
        <v>91</v>
      </c>
      <c r="H507" t="s">
        <v>39</v>
      </c>
      <c r="I50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Wilsonmorgan.wilson25@example.comWorkshop: Excel Mastery0.43755CHalalAttendee</v>
      </c>
      <c r="J507" t="str">
        <f>IF(COUNTIF(EDA_Table[Temp ID],EDA_Table[[#This Row],[Temp ID]])&gt;1,"Duplicate","Unique")</f>
        <v>Unique</v>
      </c>
    </row>
    <row r="508" spans="1:10">
      <c r="A508" t="s">
        <v>173</v>
      </c>
      <c r="B508" t="s">
        <v>709</v>
      </c>
      <c r="C508" t="s">
        <v>37</v>
      </c>
      <c r="D508" t="s">
        <v>19</v>
      </c>
      <c r="E508" s="1">
        <v>0.27083333333333331</v>
      </c>
      <c r="F508" t="s">
        <v>707</v>
      </c>
      <c r="G508" t="s">
        <v>52</v>
      </c>
      <c r="H508" t="s">
        <v>39</v>
      </c>
      <c r="I50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Allenchris.allen825@example.comCanada 0.2708333333333335CVeganAttendee</v>
      </c>
      <c r="J508" t="str">
        <f>IF(COUNTIF(EDA_Table[Temp ID],EDA_Table[[#This Row],[Temp ID]])&gt;1,"Duplicate","Unique")</f>
        <v>Unique</v>
      </c>
    </row>
    <row r="509" spans="1:10">
      <c r="A509" t="s">
        <v>147</v>
      </c>
      <c r="B509" t="s">
        <v>706</v>
      </c>
      <c r="C509" t="s">
        <v>19</v>
      </c>
      <c r="D509" t="s">
        <v>79</v>
      </c>
      <c r="E509" s="1">
        <v>0.60416666666666663</v>
      </c>
      <c r="F509" t="s">
        <v>707</v>
      </c>
      <c r="G509" t="s">
        <v>31</v>
      </c>
      <c r="H509" t="s">
        <v>39</v>
      </c>
      <c r="I50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Browntaylor.brown513@example.com Panel: Women in Tech0.6041666666666675CNoneAttendee</v>
      </c>
      <c r="J509" t="str">
        <f>IF(COUNTIF(EDA_Table[Temp ID],EDA_Table[[#This Row],[Temp ID]])&gt;1,"Duplicate","Unique")</f>
        <v>Duplicate</v>
      </c>
    </row>
    <row r="510" spans="1:10">
      <c r="A510" t="s">
        <v>386</v>
      </c>
      <c r="B510" t="s">
        <v>710</v>
      </c>
      <c r="C510" t="s">
        <v>19</v>
      </c>
      <c r="D510" t="s">
        <v>13</v>
      </c>
      <c r="E510" s="1">
        <v>0.35416666666666669</v>
      </c>
      <c r="F510" t="s">
        <v>711</v>
      </c>
      <c r="H510" t="s">
        <v>39</v>
      </c>
      <c r="I51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Smithdrew.smith976@example.com Training: Dashboard Design0.3541666666666675DAttendee</v>
      </c>
      <c r="J510" t="str">
        <f>IF(COUNTIF(EDA_Table[Temp ID],EDA_Table[[#This Row],[Temp ID]])&gt;1,"Duplicate","Unique")</f>
        <v>Unique</v>
      </c>
    </row>
    <row r="511" spans="1:10">
      <c r="A511" t="s">
        <v>598</v>
      </c>
      <c r="B511" t="s">
        <v>712</v>
      </c>
      <c r="C511" t="s">
        <v>19</v>
      </c>
      <c r="D511" t="s">
        <v>45</v>
      </c>
      <c r="E511" s="2">
        <v>0.85416666666666663</v>
      </c>
      <c r="F511" t="s">
        <v>711</v>
      </c>
      <c r="G511" t="s">
        <v>15</v>
      </c>
      <c r="H511" t="s">
        <v>39</v>
      </c>
      <c r="I51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Allenjamie.allen3@example.com Keynote: Future of Data0.8541666666666675DVegetarianAttendee</v>
      </c>
      <c r="J511" t="str">
        <f>IF(COUNTIF(EDA_Table[Temp ID],EDA_Table[[#This Row],[Temp ID]])&gt;1,"Duplicate","Unique")</f>
        <v>Duplicate</v>
      </c>
    </row>
    <row r="512" spans="1:10">
      <c r="A512" t="s">
        <v>598</v>
      </c>
      <c r="B512" t="s">
        <v>712</v>
      </c>
      <c r="C512" t="s">
        <v>19</v>
      </c>
      <c r="D512" t="s">
        <v>45</v>
      </c>
      <c r="E512" s="2">
        <v>0.85416666666666663</v>
      </c>
      <c r="F512" t="s">
        <v>711</v>
      </c>
      <c r="G512" t="s">
        <v>15</v>
      </c>
      <c r="H512" t="s">
        <v>39</v>
      </c>
      <c r="I51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Allenjamie.allen3@example.com Keynote: Future of Data0.8541666666666675DVegetarianAttendee</v>
      </c>
      <c r="J512" t="str">
        <f>IF(COUNTIF(EDA_Table[Temp ID],EDA_Table[[#This Row],[Temp ID]])&gt;1,"Duplicate","Unique")</f>
        <v>Duplicate</v>
      </c>
    </row>
    <row r="513" spans="1:10">
      <c r="A513" t="s">
        <v>83</v>
      </c>
      <c r="B513" t="s">
        <v>713</v>
      </c>
      <c r="D513" t="s">
        <v>45</v>
      </c>
      <c r="E513" s="2">
        <v>0.375</v>
      </c>
      <c r="F513" t="s">
        <v>711</v>
      </c>
      <c r="G513" t="s">
        <v>91</v>
      </c>
      <c r="H513" t="s">
        <v>39</v>
      </c>
      <c r="I51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Walkerchris.walker262@example.comKeynote: Future of Data0.3755DHalalAttendee</v>
      </c>
      <c r="J513" t="str">
        <f>IF(COUNTIF(EDA_Table[Temp ID],EDA_Table[[#This Row],[Temp ID]])&gt;1,"Duplicate","Unique")</f>
        <v>Unique</v>
      </c>
    </row>
    <row r="514" spans="1:10">
      <c r="A514" t="s">
        <v>396</v>
      </c>
      <c r="B514" t="s">
        <v>714</v>
      </c>
      <c r="C514" t="s">
        <v>19</v>
      </c>
      <c r="D514" t="s">
        <v>13</v>
      </c>
      <c r="E514" s="2">
        <v>0.79166666666666663</v>
      </c>
      <c r="F514" t="s">
        <v>715</v>
      </c>
      <c r="G514" t="s">
        <v>91</v>
      </c>
      <c r="H514" t="s">
        <v>39</v>
      </c>
      <c r="I51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Leeriley.lee778@example.com Training: Dashboard Design0.7916666666666676AHalalAttendee</v>
      </c>
      <c r="J514" t="str">
        <f>IF(COUNTIF(EDA_Table[Temp ID],EDA_Table[[#This Row],[Temp ID]])&gt;1,"Duplicate","Unique")</f>
        <v>Unique</v>
      </c>
    </row>
    <row r="515" spans="1:10">
      <c r="A515" t="s">
        <v>313</v>
      </c>
      <c r="B515" t="s">
        <v>716</v>
      </c>
      <c r="C515" t="s">
        <v>78</v>
      </c>
      <c r="D515" t="s">
        <v>13</v>
      </c>
      <c r="E515" s="1">
        <v>0.5</v>
      </c>
      <c r="F515" t="s">
        <v>715</v>
      </c>
      <c r="G515" t="s">
        <v>52</v>
      </c>
      <c r="H515" t="s">
        <v>39</v>
      </c>
      <c r="I51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Browncasey.brown383@example.comAustraliaTraining: Dashboard Design0.56AVeganAttendee</v>
      </c>
      <c r="J515" t="str">
        <f>IF(COUNTIF(EDA_Table[Temp ID],EDA_Table[[#This Row],[Temp ID]])&gt;1,"Duplicate","Unique")</f>
        <v>Unique</v>
      </c>
    </row>
    <row r="516" spans="1:10">
      <c r="A516" t="s">
        <v>255</v>
      </c>
      <c r="B516" t="s">
        <v>717</v>
      </c>
      <c r="C516" t="s">
        <v>19</v>
      </c>
      <c r="D516" t="s">
        <v>50</v>
      </c>
      <c r="E516" s="1">
        <v>0.3125</v>
      </c>
      <c r="F516" t="s">
        <v>715</v>
      </c>
      <c r="G516" t="s">
        <v>15</v>
      </c>
      <c r="H516" t="s">
        <v>39</v>
      </c>
      <c r="I51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Walkertaylor.walker360@example.com Workshop: Excel Mastery0.31256AVegetarianAttendee</v>
      </c>
      <c r="J516" t="str">
        <f>IF(COUNTIF(EDA_Table[Temp ID],EDA_Table[[#This Row],[Temp ID]])&gt;1,"Duplicate","Unique")</f>
        <v>Unique</v>
      </c>
    </row>
    <row r="517" spans="1:10">
      <c r="A517" t="s">
        <v>234</v>
      </c>
      <c r="B517" t="s">
        <v>718</v>
      </c>
      <c r="C517" t="s">
        <v>78</v>
      </c>
      <c r="E517" s="1">
        <v>0.83333333333333337</v>
      </c>
      <c r="F517" t="s">
        <v>715</v>
      </c>
      <c r="G517" t="s">
        <v>52</v>
      </c>
      <c r="H517" t="s">
        <v>39</v>
      </c>
      <c r="I51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Brownjamie.brown881@example.comAustralia0.8333333333333336AVeganAttendee</v>
      </c>
      <c r="J517" t="str">
        <f>IF(COUNTIF(EDA_Table[Temp ID],EDA_Table[[#This Row],[Temp ID]])&gt;1,"Duplicate","Unique")</f>
        <v>Unique</v>
      </c>
    </row>
    <row r="518" spans="1:10">
      <c r="A518" t="s">
        <v>188</v>
      </c>
      <c r="B518" t="s">
        <v>719</v>
      </c>
      <c r="C518" t="s">
        <v>19</v>
      </c>
      <c r="D518" t="s">
        <v>50</v>
      </c>
      <c r="E518" s="2">
        <v>0.22916666666666666</v>
      </c>
      <c r="F518" t="s">
        <v>720</v>
      </c>
      <c r="G518" t="s">
        <v>91</v>
      </c>
      <c r="H518" t="s">
        <v>39</v>
      </c>
      <c r="I51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Lewisalex.lewis208@example.com Workshop: Excel Mastery0.2291666666666676CHalalAttendee</v>
      </c>
      <c r="J518" t="str">
        <f>IF(COUNTIF(EDA_Table[Temp ID],EDA_Table[[#This Row],[Temp ID]])&gt;1,"Duplicate","Unique")</f>
        <v>Duplicate</v>
      </c>
    </row>
    <row r="519" spans="1:10">
      <c r="A519" t="s">
        <v>188</v>
      </c>
      <c r="B519" t="s">
        <v>719</v>
      </c>
      <c r="C519" t="s">
        <v>19</v>
      </c>
      <c r="D519" t="s">
        <v>50</v>
      </c>
      <c r="E519" s="2">
        <v>0.22916666666666666</v>
      </c>
      <c r="F519" t="s">
        <v>720</v>
      </c>
      <c r="G519" t="s">
        <v>91</v>
      </c>
      <c r="H519" t="s">
        <v>39</v>
      </c>
      <c r="I51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Lewisalex.lewis208@example.com Workshop: Excel Mastery0.2291666666666676CHalalAttendee</v>
      </c>
      <c r="J519" t="str">
        <f>IF(COUNTIF(EDA_Table[Temp ID],EDA_Table[[#This Row],[Temp ID]])&gt;1,"Duplicate","Unique")</f>
        <v>Duplicate</v>
      </c>
    </row>
    <row r="520" spans="1:10">
      <c r="A520" t="s">
        <v>475</v>
      </c>
      <c r="B520" t="s">
        <v>721</v>
      </c>
      <c r="C520" t="s">
        <v>101</v>
      </c>
      <c r="D520" t="s">
        <v>50</v>
      </c>
      <c r="E520" s="2">
        <v>0.72916666666666663</v>
      </c>
      <c r="F520" t="s">
        <v>720</v>
      </c>
      <c r="G520" t="s">
        <v>15</v>
      </c>
      <c r="H520" t="s">
        <v>39</v>
      </c>
      <c r="I52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Browndrew.brown806@example.comJapanWorkshop: Excel Mastery0.7291666666666676CVegetarianAttendee</v>
      </c>
      <c r="J520" t="str">
        <f>IF(COUNTIF(EDA_Table[Temp ID],EDA_Table[[#This Row],[Temp ID]])&gt;1,"Duplicate","Unique")</f>
        <v>Unique</v>
      </c>
    </row>
    <row r="521" spans="1:10">
      <c r="A521" t="s">
        <v>66</v>
      </c>
      <c r="B521" t="s">
        <v>722</v>
      </c>
      <c r="C521" t="s">
        <v>34</v>
      </c>
      <c r="D521" t="s">
        <v>71</v>
      </c>
      <c r="E521" s="2">
        <v>0.41666666666666669</v>
      </c>
      <c r="F521" t="s">
        <v>720</v>
      </c>
      <c r="H521" t="s">
        <v>39</v>
      </c>
      <c r="I52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Allencasey.allen843@example.comGermanyWebinar: AI Ethics0.4166666666666676CAttendee</v>
      </c>
      <c r="J521" t="str">
        <f>IF(COUNTIF(EDA_Table[Temp ID],EDA_Table[[#This Row],[Temp ID]])&gt;1,"Duplicate","Unique")</f>
        <v>Unique</v>
      </c>
    </row>
    <row r="522" spans="1:10">
      <c r="A522" t="s">
        <v>188</v>
      </c>
      <c r="B522" t="s">
        <v>723</v>
      </c>
      <c r="C522" t="s">
        <v>78</v>
      </c>
      <c r="D522" t="s">
        <v>71</v>
      </c>
      <c r="E522" s="2">
        <v>0.3125</v>
      </c>
      <c r="F522" t="s">
        <v>720</v>
      </c>
      <c r="G522" t="s">
        <v>15</v>
      </c>
      <c r="H522" t="s">
        <v>39</v>
      </c>
      <c r="I52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Lewisalex.lewis55@example.comAustraliaWebinar: AI Ethics0.31256CVegetarianAttendee</v>
      </c>
      <c r="J522" t="str">
        <f>IF(COUNTIF(EDA_Table[Temp ID],EDA_Table[[#This Row],[Temp ID]])&gt;1,"Duplicate","Unique")</f>
        <v>Unique</v>
      </c>
    </row>
    <row r="523" spans="1:10">
      <c r="A523" t="s">
        <v>288</v>
      </c>
      <c r="B523" t="s">
        <v>724</v>
      </c>
      <c r="C523" t="s">
        <v>112</v>
      </c>
      <c r="D523" t="s">
        <v>45</v>
      </c>
      <c r="E523" s="2">
        <v>0.95833333333333337</v>
      </c>
      <c r="F523" t="s">
        <v>720</v>
      </c>
      <c r="G523" t="s">
        <v>91</v>
      </c>
      <c r="H523" t="s">
        <v>39</v>
      </c>
      <c r="I52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Johnsonalex.johnson808@example.comNigeriaKeynote: Future of Data0.9583333333333336CHalalAttendee</v>
      </c>
      <c r="J523" t="str">
        <f>IF(COUNTIF(EDA_Table[Temp ID],EDA_Table[[#This Row],[Temp ID]])&gt;1,"Duplicate","Unique")</f>
        <v>Unique</v>
      </c>
    </row>
    <row r="524" spans="1:10">
      <c r="A524" t="s">
        <v>127</v>
      </c>
      <c r="B524" t="s">
        <v>725</v>
      </c>
      <c r="C524" t="s">
        <v>101</v>
      </c>
      <c r="D524" t="s">
        <v>13</v>
      </c>
      <c r="E524" s="1">
        <v>0.45833333333333331</v>
      </c>
      <c r="F524" t="s">
        <v>726</v>
      </c>
      <c r="G524" t="s">
        <v>19</v>
      </c>
      <c r="H524" t="s">
        <v>39</v>
      </c>
      <c r="I52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Casey Lewiscasey.lewis387@example.comJapanTraining: Dashboard Design0.4583333333333336D Attendee</v>
      </c>
      <c r="J524" t="str">
        <f>IF(COUNTIF(EDA_Table[Temp ID],EDA_Table[[#This Row],[Temp ID]])&gt;1,"Duplicate","Unique")</f>
        <v>Unique</v>
      </c>
    </row>
    <row r="525" spans="1:10">
      <c r="A525" t="s">
        <v>494</v>
      </c>
      <c r="B525" t="s">
        <v>727</v>
      </c>
      <c r="C525" t="s">
        <v>34</v>
      </c>
      <c r="D525" t="s">
        <v>13</v>
      </c>
      <c r="E525" s="2">
        <v>0.47916666666666669</v>
      </c>
      <c r="F525" t="s">
        <v>726</v>
      </c>
      <c r="G525" t="s">
        <v>52</v>
      </c>
      <c r="H525" t="s">
        <v>39</v>
      </c>
      <c r="I52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Riley Lewisriley.lewis348@example.comGermanyTraining: Dashboard Design0.4791666666666676DVeganAttendee</v>
      </c>
      <c r="J525" t="str">
        <f>IF(COUNTIF(EDA_Table[Temp ID],EDA_Table[[#This Row],[Temp ID]])&gt;1,"Duplicate","Unique")</f>
        <v>Unique</v>
      </c>
    </row>
    <row r="526" spans="1:10">
      <c r="A526" t="s">
        <v>73</v>
      </c>
      <c r="B526" t="s">
        <v>728</v>
      </c>
      <c r="C526" t="s">
        <v>96</v>
      </c>
      <c r="D526" t="s">
        <v>79</v>
      </c>
      <c r="E526" s="2">
        <v>0.54166666666666663</v>
      </c>
      <c r="F526" t="s">
        <v>729</v>
      </c>
      <c r="G526" t="s">
        <v>52</v>
      </c>
      <c r="H526" t="s">
        <v>39</v>
      </c>
      <c r="I52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Smithtaylor.smith873@example.comUnited KingdomPanel: Women in Tech0.5416666666666677AVeganAttendee</v>
      </c>
      <c r="J526" t="str">
        <f>IF(COUNTIF(EDA_Table[Temp ID],EDA_Table[[#This Row],[Temp ID]])&gt;1,"Duplicate","Unique")</f>
        <v>Duplicate</v>
      </c>
    </row>
    <row r="527" spans="1:10">
      <c r="A527" t="s">
        <v>475</v>
      </c>
      <c r="B527" t="s">
        <v>730</v>
      </c>
      <c r="C527" t="s">
        <v>68</v>
      </c>
      <c r="D527" t="s">
        <v>13</v>
      </c>
      <c r="E527" s="1">
        <v>0.72916666666666663</v>
      </c>
      <c r="F527" t="s">
        <v>729</v>
      </c>
      <c r="G527" t="s">
        <v>91</v>
      </c>
      <c r="H527" t="s">
        <v>39</v>
      </c>
      <c r="I52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Browndrew.brown327@example.comIndiaTraining: Dashboard Design0.7291666666666677AHalalAttendee</v>
      </c>
      <c r="J527" t="str">
        <f>IF(COUNTIF(EDA_Table[Temp ID],EDA_Table[[#This Row],[Temp ID]])&gt;1,"Duplicate","Unique")</f>
        <v>Unique</v>
      </c>
    </row>
    <row r="528" spans="1:10">
      <c r="A528" t="s">
        <v>73</v>
      </c>
      <c r="B528" t="s">
        <v>728</v>
      </c>
      <c r="C528" t="s">
        <v>96</v>
      </c>
      <c r="D528" t="s">
        <v>79</v>
      </c>
      <c r="E528" s="2">
        <v>0.54166666666666663</v>
      </c>
      <c r="F528" t="s">
        <v>729</v>
      </c>
      <c r="G528" t="s">
        <v>52</v>
      </c>
      <c r="H528" t="s">
        <v>39</v>
      </c>
      <c r="I52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Smithtaylor.smith873@example.comUnited KingdomPanel: Women in Tech0.5416666666666677AVeganAttendee</v>
      </c>
      <c r="J528" t="str">
        <f>IF(COUNTIF(EDA_Table[Temp ID],EDA_Table[[#This Row],[Temp ID]])&gt;1,"Duplicate","Unique")</f>
        <v>Duplicate</v>
      </c>
    </row>
    <row r="529" spans="1:10">
      <c r="A529" t="s">
        <v>274</v>
      </c>
      <c r="B529" t="s">
        <v>731</v>
      </c>
      <c r="C529" t="s">
        <v>19</v>
      </c>
      <c r="D529" t="s">
        <v>19</v>
      </c>
      <c r="E529" s="1">
        <v>0.52083333333333337</v>
      </c>
      <c r="F529" t="s">
        <v>729</v>
      </c>
      <c r="G529" t="s">
        <v>52</v>
      </c>
      <c r="H529" t="s">
        <v>39</v>
      </c>
      <c r="I52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Leechris.lee390@example.com  0.5208333333333337AVeganAttendee</v>
      </c>
      <c r="J529" t="str">
        <f>IF(COUNTIF(EDA_Table[Temp ID],EDA_Table[[#This Row],[Temp ID]])&gt;1,"Duplicate","Unique")</f>
        <v>Unique</v>
      </c>
    </row>
    <row r="530" spans="1:10">
      <c r="A530" t="s">
        <v>64</v>
      </c>
      <c r="B530" t="s">
        <v>732</v>
      </c>
      <c r="C530" t="s">
        <v>55</v>
      </c>
      <c r="D530" t="s">
        <v>45</v>
      </c>
      <c r="E530" s="2">
        <v>0.97916666666666663</v>
      </c>
      <c r="F530" t="s">
        <v>733</v>
      </c>
      <c r="G530" t="s">
        <v>31</v>
      </c>
      <c r="H530" t="s">
        <v>39</v>
      </c>
      <c r="I53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Smithjamie.smith974@example.comBrazilKeynote: Future of Data0.9791666666666677BNoneAttendee</v>
      </c>
      <c r="J530" t="str">
        <f>IF(COUNTIF(EDA_Table[Temp ID],EDA_Table[[#This Row],[Temp ID]])&gt;1,"Duplicate","Unique")</f>
        <v>Duplicate</v>
      </c>
    </row>
    <row r="531" spans="1:10">
      <c r="A531" t="s">
        <v>64</v>
      </c>
      <c r="B531" t="s">
        <v>732</v>
      </c>
      <c r="C531" t="s">
        <v>55</v>
      </c>
      <c r="D531" t="s">
        <v>45</v>
      </c>
      <c r="E531" s="2">
        <v>0.97916666666666663</v>
      </c>
      <c r="F531" t="s">
        <v>733</v>
      </c>
      <c r="G531" t="s">
        <v>31</v>
      </c>
      <c r="H531" t="s">
        <v>39</v>
      </c>
      <c r="I53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Smithjamie.smith974@example.comBrazilKeynote: Future of Data0.9791666666666677BNoneAttendee</v>
      </c>
      <c r="J531" t="str">
        <f>IF(COUNTIF(EDA_Table[Temp ID],EDA_Table[[#This Row],[Temp ID]])&gt;1,"Duplicate","Unique")</f>
        <v>Duplicate</v>
      </c>
    </row>
    <row r="532" spans="1:10">
      <c r="A532" t="s">
        <v>598</v>
      </c>
      <c r="B532" t="s">
        <v>734</v>
      </c>
      <c r="E532" s="2">
        <v>0.10416666666666667</v>
      </c>
      <c r="F532" t="s">
        <v>735</v>
      </c>
      <c r="G532" t="s">
        <v>91</v>
      </c>
      <c r="H532" t="s">
        <v>39</v>
      </c>
      <c r="I53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Allenjamie.allen54@example.com0.1041666666666677DHalalAttendee</v>
      </c>
      <c r="J532" t="str">
        <f>IF(COUNTIF(EDA_Table[Temp ID],EDA_Table[[#This Row],[Temp ID]])&gt;1,"Duplicate","Unique")</f>
        <v>Unique</v>
      </c>
    </row>
    <row r="533" spans="1:10">
      <c r="A533" t="s">
        <v>64</v>
      </c>
      <c r="B533" t="s">
        <v>736</v>
      </c>
      <c r="C533" t="s">
        <v>96</v>
      </c>
      <c r="D533" t="s">
        <v>13</v>
      </c>
      <c r="E533" s="2">
        <v>0.375</v>
      </c>
      <c r="F533" t="s">
        <v>735</v>
      </c>
      <c r="G533" t="s">
        <v>15</v>
      </c>
      <c r="H533" t="s">
        <v>39</v>
      </c>
      <c r="I53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Smithjamie.smith52@example.comUnited KingdomTraining: Dashboard Design0.3757DVegetarianAttendee</v>
      </c>
      <c r="J533" t="str">
        <f>IF(COUNTIF(EDA_Table[Temp ID],EDA_Table[[#This Row],[Temp ID]])&gt;1,"Duplicate","Unique")</f>
        <v>Unique</v>
      </c>
    </row>
    <row r="534" spans="1:10">
      <c r="A534" t="s">
        <v>389</v>
      </c>
      <c r="B534" t="s">
        <v>737</v>
      </c>
      <c r="C534" t="s">
        <v>19</v>
      </c>
      <c r="D534" t="s">
        <v>13</v>
      </c>
      <c r="E534" s="2">
        <v>0.70833333333333337</v>
      </c>
      <c r="F534" t="s">
        <v>738</v>
      </c>
      <c r="H534" t="s">
        <v>39</v>
      </c>
      <c r="I53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Johnsontaylor.johnson166@example.com Training: Dashboard Design0.7083333333333338AAttendee</v>
      </c>
      <c r="J534" t="str">
        <f>IF(COUNTIF(EDA_Table[Temp ID],EDA_Table[[#This Row],[Temp ID]])&gt;1,"Duplicate","Unique")</f>
        <v>Duplicate</v>
      </c>
    </row>
    <row r="535" spans="1:10">
      <c r="A535" t="s">
        <v>180</v>
      </c>
      <c r="B535" t="s">
        <v>739</v>
      </c>
      <c r="C535" t="s">
        <v>96</v>
      </c>
      <c r="D535" t="s">
        <v>19</v>
      </c>
      <c r="E535" s="1">
        <v>0.14583333333333334</v>
      </c>
      <c r="F535" t="s">
        <v>738</v>
      </c>
      <c r="G535" t="s">
        <v>15</v>
      </c>
      <c r="H535" t="s">
        <v>39</v>
      </c>
      <c r="I53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Allentaylor.allen3@example.comUnited Kingdom 0.1458333333333338AVegetarianAttendee</v>
      </c>
      <c r="J535" t="str">
        <f>IF(COUNTIF(EDA_Table[Temp ID],EDA_Table[[#This Row],[Temp ID]])&gt;1,"Duplicate","Unique")</f>
        <v>Duplicate</v>
      </c>
    </row>
    <row r="536" spans="1:10">
      <c r="A536" t="s">
        <v>180</v>
      </c>
      <c r="B536" t="s">
        <v>739</v>
      </c>
      <c r="C536" t="s">
        <v>96</v>
      </c>
      <c r="D536" t="s">
        <v>19</v>
      </c>
      <c r="E536" s="1">
        <v>0.14583333333333334</v>
      </c>
      <c r="F536" t="s">
        <v>738</v>
      </c>
      <c r="G536" t="s">
        <v>15</v>
      </c>
      <c r="H536" t="s">
        <v>39</v>
      </c>
      <c r="I53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Allentaylor.allen3@example.comUnited Kingdom 0.1458333333333338AVegetarianAttendee</v>
      </c>
      <c r="J536" t="str">
        <f>IF(COUNTIF(EDA_Table[Temp ID],EDA_Table[[#This Row],[Temp ID]])&gt;1,"Duplicate","Unique")</f>
        <v>Duplicate</v>
      </c>
    </row>
    <row r="537" spans="1:10">
      <c r="A537" t="s">
        <v>197</v>
      </c>
      <c r="B537" t="s">
        <v>740</v>
      </c>
      <c r="C537" t="s">
        <v>101</v>
      </c>
      <c r="D537" t="s">
        <v>79</v>
      </c>
      <c r="E537" s="1">
        <v>0.85416666666666663</v>
      </c>
      <c r="F537" t="s">
        <v>738</v>
      </c>
      <c r="G537" t="s">
        <v>15</v>
      </c>
      <c r="H537" t="s">
        <v>39</v>
      </c>
      <c r="I53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Lewisjamie.lewis124@example.comJapanPanel: Women in Tech0.8541666666666678AVegetarianAttendee</v>
      </c>
      <c r="J537" t="str">
        <f>IF(COUNTIF(EDA_Table[Temp ID],EDA_Table[[#This Row],[Temp ID]])&gt;1,"Duplicate","Unique")</f>
        <v>Unique</v>
      </c>
    </row>
    <row r="538" spans="1:10">
      <c r="A538" t="s">
        <v>389</v>
      </c>
      <c r="B538" t="s">
        <v>737</v>
      </c>
      <c r="C538" t="s">
        <v>19</v>
      </c>
      <c r="D538" t="s">
        <v>13</v>
      </c>
      <c r="E538" s="2">
        <v>0.70833333333333337</v>
      </c>
      <c r="F538" t="s">
        <v>738</v>
      </c>
      <c r="H538" t="s">
        <v>39</v>
      </c>
      <c r="I53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Johnsontaylor.johnson166@example.com Training: Dashboard Design0.7083333333333338AAttendee</v>
      </c>
      <c r="J538" t="str">
        <f>IF(COUNTIF(EDA_Table[Temp ID],EDA_Table[[#This Row],[Temp ID]])&gt;1,"Duplicate","Unique")</f>
        <v>Duplicate</v>
      </c>
    </row>
    <row r="539" spans="1:10">
      <c r="A539" t="s">
        <v>40</v>
      </c>
      <c r="B539" t="s">
        <v>741</v>
      </c>
      <c r="C539" t="s">
        <v>112</v>
      </c>
      <c r="E539" s="2">
        <v>0.9375</v>
      </c>
      <c r="F539" t="s">
        <v>738</v>
      </c>
      <c r="G539" t="s">
        <v>19</v>
      </c>
      <c r="H539" t="s">
        <v>39</v>
      </c>
      <c r="I53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Drew Allendrew.allen615@example.comNigeria0.93758A Attendee</v>
      </c>
      <c r="J539" t="str">
        <f>IF(COUNTIF(EDA_Table[Temp ID],EDA_Table[[#This Row],[Temp ID]])&gt;1,"Duplicate","Unique")</f>
        <v>Unique</v>
      </c>
    </row>
    <row r="540" spans="1:10">
      <c r="A540" t="s">
        <v>108</v>
      </c>
      <c r="B540" t="s">
        <v>742</v>
      </c>
      <c r="C540" t="s">
        <v>19</v>
      </c>
      <c r="D540" t="s">
        <v>79</v>
      </c>
      <c r="E540" s="2">
        <v>0.10416666666666667</v>
      </c>
      <c r="F540" t="s">
        <v>738</v>
      </c>
      <c r="G540" t="s">
        <v>15</v>
      </c>
      <c r="H540" t="s">
        <v>39</v>
      </c>
      <c r="I54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Wilsonjamie.wilson427@example.com Panel: Women in Tech0.1041666666666678AVegetarianAttendee</v>
      </c>
      <c r="J540" t="str">
        <f>IF(COUNTIF(EDA_Table[Temp ID],EDA_Table[[#This Row],[Temp ID]])&gt;1,"Duplicate","Unique")</f>
        <v>Unique</v>
      </c>
    </row>
    <row r="541" spans="1:10">
      <c r="A541" t="s">
        <v>177</v>
      </c>
      <c r="B541" t="s">
        <v>743</v>
      </c>
      <c r="C541" t="s">
        <v>112</v>
      </c>
      <c r="E541" s="2">
        <v>0.85416666666666663</v>
      </c>
      <c r="F541" t="s">
        <v>744</v>
      </c>
      <c r="G541" t="s">
        <v>52</v>
      </c>
      <c r="H541" t="s">
        <v>39</v>
      </c>
      <c r="I54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Brownmorgan.brown651@example.comNigeria0.8541666666666678BVeganAttendee</v>
      </c>
      <c r="J541" t="str">
        <f>IF(COUNTIF(EDA_Table[Temp ID],EDA_Table[[#This Row],[Temp ID]])&gt;1,"Duplicate","Unique")</f>
        <v>Unique</v>
      </c>
    </row>
    <row r="542" spans="1:10">
      <c r="A542" t="s">
        <v>35</v>
      </c>
      <c r="B542" t="s">
        <v>745</v>
      </c>
      <c r="C542" t="s">
        <v>101</v>
      </c>
      <c r="D542" t="s">
        <v>45</v>
      </c>
      <c r="E542" s="2">
        <v>0.625</v>
      </c>
      <c r="F542" t="s">
        <v>746</v>
      </c>
      <c r="G542" t="s">
        <v>19</v>
      </c>
      <c r="H542" t="s">
        <v>39</v>
      </c>
      <c r="I542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Halltaylor.hall977@example.comJapanKeynote: Future of Data0.6258C Attendee</v>
      </c>
      <c r="J542" t="str">
        <f>IF(COUNTIF(EDA_Table[Temp ID],EDA_Table[[#This Row],[Temp ID]])&gt;1,"Duplicate","Unique")</f>
        <v>Unique</v>
      </c>
    </row>
    <row r="543" spans="1:10">
      <c r="A543" t="s">
        <v>257</v>
      </c>
      <c r="B543" t="s">
        <v>747</v>
      </c>
      <c r="D543" t="s">
        <v>71</v>
      </c>
      <c r="E543" s="1">
        <v>0.5625</v>
      </c>
      <c r="F543" t="s">
        <v>748</v>
      </c>
      <c r="G543" t="s">
        <v>91</v>
      </c>
      <c r="H543" t="s">
        <v>39</v>
      </c>
      <c r="I543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Walkerjamie.walker247@example.comWebinar: AI Ethics0.56258DHalalAttendee</v>
      </c>
      <c r="J543" t="str">
        <f>IF(COUNTIF(EDA_Table[Temp ID],EDA_Table[[#This Row],[Temp ID]])&gt;1,"Duplicate","Unique")</f>
        <v>Unique</v>
      </c>
    </row>
    <row r="544" spans="1:10">
      <c r="A544" t="s">
        <v>536</v>
      </c>
      <c r="B544" t="s">
        <v>749</v>
      </c>
      <c r="C544" t="s">
        <v>101</v>
      </c>
      <c r="D544" t="s">
        <v>13</v>
      </c>
      <c r="E544" s="2">
        <v>0.79166666666666663</v>
      </c>
      <c r="F544" t="s">
        <v>750</v>
      </c>
      <c r="G544" t="s">
        <v>28</v>
      </c>
      <c r="H544" t="s">
        <v>39</v>
      </c>
      <c r="I544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Chris Brownchris.brown396@example.comJapanTraining: Dashboard Design0.7916666666666679AKosherAttendee</v>
      </c>
      <c r="J544" t="str">
        <f>IF(COUNTIF(EDA_Table[Temp ID],EDA_Table[[#This Row],[Temp ID]])&gt;1,"Duplicate","Unique")</f>
        <v>Unique</v>
      </c>
    </row>
    <row r="545" spans="1:10">
      <c r="A545" t="s">
        <v>751</v>
      </c>
      <c r="B545" t="s">
        <v>752</v>
      </c>
      <c r="C545" t="s">
        <v>101</v>
      </c>
      <c r="D545" t="s">
        <v>19</v>
      </c>
      <c r="E545" s="1">
        <v>0</v>
      </c>
      <c r="F545" t="s">
        <v>750</v>
      </c>
      <c r="G545" t="s">
        <v>28</v>
      </c>
      <c r="H545" t="s">
        <v>39</v>
      </c>
      <c r="I545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Jesse Walkerjesse.walker947@example.comJapan 09AKosherAttendee</v>
      </c>
      <c r="J545" t="str">
        <f>IF(COUNTIF(EDA_Table[Temp ID],EDA_Table[[#This Row],[Temp ID]])&gt;1,"Duplicate","Unique")</f>
        <v>Duplicate</v>
      </c>
    </row>
    <row r="546" spans="1:10">
      <c r="A546" t="s">
        <v>751</v>
      </c>
      <c r="B546" t="s">
        <v>752</v>
      </c>
      <c r="C546" t="s">
        <v>101</v>
      </c>
      <c r="D546" t="s">
        <v>19</v>
      </c>
      <c r="E546" s="1">
        <v>0</v>
      </c>
      <c r="F546" t="s">
        <v>750</v>
      </c>
      <c r="G546" t="s">
        <v>28</v>
      </c>
      <c r="H546" t="s">
        <v>39</v>
      </c>
      <c r="I546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Jesse Walkerjesse.walker947@example.comJapan 09AKosherAttendee</v>
      </c>
      <c r="J546" t="str">
        <f>IF(COUNTIF(EDA_Table[Temp ID],EDA_Table[[#This Row],[Temp ID]])&gt;1,"Duplicate","Unique")</f>
        <v>Duplicate</v>
      </c>
    </row>
    <row r="547" spans="1:10">
      <c r="A547" t="s">
        <v>211</v>
      </c>
      <c r="B547" t="s">
        <v>753</v>
      </c>
      <c r="C547" t="s">
        <v>78</v>
      </c>
      <c r="D547" t="s">
        <v>71</v>
      </c>
      <c r="E547" s="1">
        <v>0.95833333333333337</v>
      </c>
      <c r="F547" t="s">
        <v>754</v>
      </c>
      <c r="G547" t="s">
        <v>31</v>
      </c>
      <c r="H547" t="s">
        <v>39</v>
      </c>
      <c r="I547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Johnsonmorgan.johnson668@example.comAustraliaWebinar: AI Ethics0.9583333333333339BNoneAttendee</v>
      </c>
      <c r="J547" t="str">
        <f>IF(COUNTIF(EDA_Table[Temp ID],EDA_Table[[#This Row],[Temp ID]])&gt;1,"Duplicate","Unique")</f>
        <v>Unique</v>
      </c>
    </row>
    <row r="548" spans="1:10">
      <c r="A548" t="s">
        <v>64</v>
      </c>
      <c r="B548" t="s">
        <v>755</v>
      </c>
      <c r="C548" t="s">
        <v>96</v>
      </c>
      <c r="D548" t="s">
        <v>50</v>
      </c>
      <c r="E548" s="1">
        <v>0.77083333333333337</v>
      </c>
      <c r="F548" t="s">
        <v>754</v>
      </c>
      <c r="G548" t="s">
        <v>52</v>
      </c>
      <c r="H548" t="s">
        <v>39</v>
      </c>
      <c r="I548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Jamie Smithjamie.smith372@example.comUnited KingdomWorkshop: Excel Mastery0.7708333333333339BVeganAttendee</v>
      </c>
      <c r="J548" t="str">
        <f>IF(COUNTIF(EDA_Table[Temp ID],EDA_Table[[#This Row],[Temp ID]])&gt;1,"Duplicate","Unique")</f>
        <v>Unique</v>
      </c>
    </row>
    <row r="549" spans="1:10">
      <c r="A549" t="s">
        <v>35</v>
      </c>
      <c r="B549" t="s">
        <v>756</v>
      </c>
      <c r="C549" t="s">
        <v>78</v>
      </c>
      <c r="D549" t="s">
        <v>45</v>
      </c>
      <c r="E549" s="2">
        <v>0.35416666666666669</v>
      </c>
      <c r="F549" t="s">
        <v>754</v>
      </c>
      <c r="G549" t="s">
        <v>31</v>
      </c>
      <c r="H549" t="s">
        <v>39</v>
      </c>
      <c r="I549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Taylor Halltaylor.hall123@example.comAustraliaKeynote: Future of Data0.3541666666666679BNoneAttendee</v>
      </c>
      <c r="J549" t="str">
        <f>IF(COUNTIF(EDA_Table[Temp ID],EDA_Table[[#This Row],[Temp ID]])&gt;1,"Duplicate","Unique")</f>
        <v>Unique</v>
      </c>
    </row>
    <row r="550" spans="1:10">
      <c r="A550" t="s">
        <v>443</v>
      </c>
      <c r="B550" t="s">
        <v>757</v>
      </c>
      <c r="C550" t="s">
        <v>55</v>
      </c>
      <c r="D550" t="s">
        <v>71</v>
      </c>
      <c r="E550" s="2">
        <v>0.22916666666666666</v>
      </c>
      <c r="F550" t="s">
        <v>758</v>
      </c>
      <c r="H550" t="s">
        <v>39</v>
      </c>
      <c r="I550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Alex Leealex.lee509@example.comBrazilWebinar: AI Ethics0.2291666666666679CAttendee</v>
      </c>
      <c r="J550" t="str">
        <f>IF(COUNTIF(EDA_Table[Temp ID],EDA_Table[[#This Row],[Temp ID]])&gt;1,"Duplicate","Unique")</f>
        <v>Unique</v>
      </c>
    </row>
    <row r="551" spans="1:10">
      <c r="A551" t="s">
        <v>619</v>
      </c>
      <c r="B551" t="s">
        <v>759</v>
      </c>
      <c r="C551" t="s">
        <v>37</v>
      </c>
      <c r="D551" t="s">
        <v>71</v>
      </c>
      <c r="E551" s="2">
        <v>6.25E-2</v>
      </c>
      <c r="F551" t="s">
        <v>760</v>
      </c>
      <c r="G551" t="s">
        <v>28</v>
      </c>
      <c r="H551" t="s">
        <v>39</v>
      </c>
      <c r="I551" t="str">
        <f>EDA_Table[[#This Row],[Name]]&amp;EDA_Table[[#This Row],[Email]]&amp;EDA_Table[[#This Row],[Country]]&amp;EDA_Table[[#This Row],[Session]]&amp;EDA_Table[[#This Row],[Arrival Time]]&amp;EDA_Table[[#This Row],[Seat]]&amp;EDA_Table[[#This Row],[Food Preference]]&amp;EDA_Table[[#This Row],[Role]]</f>
        <v>Morgan Allenmorgan.allen501@example.comCanadaWebinar: AI Ethics0.06259DKosherAttendee</v>
      </c>
      <c r="J551" t="str">
        <f>IF(COUNTIF(EDA_Table[Temp ID],EDA_Table[[#This Row],[Temp ID]])&gt;1,"Duplicate","Unique")</f>
        <v>Unique</v>
      </c>
    </row>
  </sheetData>
  <mergeCells count="1">
    <mergeCell ref="M1:N1"/>
  </mergeCells>
  <conditionalFormatting sqref="I1:I1048576">
    <cfRule type="duplicateValues" dxfId="2" priority="1"/>
  </conditionalFormatting>
  <conditionalFormatting sqref="I552:I1048576">
    <cfRule type="duplicateValues" dxfId="1" priority="2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3874E-399C-4920-88D6-4DDD9344945C}">
  <dimension ref="A1:F34"/>
  <sheetViews>
    <sheetView workbookViewId="0">
      <selection activeCell="E8" sqref="E3:F8"/>
    </sheetView>
  </sheetViews>
  <sheetFormatPr defaultRowHeight="15"/>
  <cols>
    <col min="1" max="1" width="25.5703125" bestFit="1" customWidth="1"/>
    <col min="2" max="2" width="16.42578125" bestFit="1" customWidth="1"/>
    <col min="5" max="6" width="48.7109375" bestFit="1" customWidth="1"/>
    <col min="7" max="7" width="18.85546875" bestFit="1" customWidth="1"/>
  </cols>
  <sheetData>
    <row r="1" spans="1:6" ht="18.75">
      <c r="E1" s="25" t="s">
        <v>803</v>
      </c>
      <c r="F1" s="25"/>
    </row>
    <row r="2" spans="1:6">
      <c r="A2" t="s">
        <v>790</v>
      </c>
    </row>
    <row r="3" spans="1:6">
      <c r="A3" s="10" t="s">
        <v>786</v>
      </c>
      <c r="B3" t="s">
        <v>789</v>
      </c>
    </row>
    <row r="4" spans="1:6">
      <c r="A4" s="11" t="s">
        <v>39</v>
      </c>
      <c r="B4">
        <v>473</v>
      </c>
    </row>
    <row r="5" spans="1:6">
      <c r="A5" s="11" t="s">
        <v>21</v>
      </c>
      <c r="B5">
        <v>16</v>
      </c>
    </row>
    <row r="6" spans="1:6">
      <c r="A6" s="11" t="s">
        <v>24</v>
      </c>
      <c r="B6">
        <v>44</v>
      </c>
    </row>
    <row r="7" spans="1:6">
      <c r="A7" s="11" t="s">
        <v>16</v>
      </c>
      <c r="B7">
        <v>17</v>
      </c>
    </row>
    <row r="8" spans="1:6">
      <c r="A8" s="11" t="s">
        <v>787</v>
      </c>
      <c r="B8">
        <v>550</v>
      </c>
    </row>
    <row r="11" spans="1:6">
      <c r="A11" s="11" t="s">
        <v>791</v>
      </c>
    </row>
    <row r="12" spans="1:6">
      <c r="A12" s="10" t="s">
        <v>786</v>
      </c>
      <c r="B12" t="s">
        <v>789</v>
      </c>
    </row>
    <row r="13" spans="1:6">
      <c r="A13" s="11" t="s">
        <v>55</v>
      </c>
      <c r="B13">
        <v>30</v>
      </c>
    </row>
    <row r="14" spans="1:6">
      <c r="A14" s="11" t="s">
        <v>12</v>
      </c>
      <c r="B14">
        <v>35</v>
      </c>
    </row>
    <row r="15" spans="1:6">
      <c r="A15" s="11" t="s">
        <v>27</v>
      </c>
      <c r="B15">
        <v>37</v>
      </c>
    </row>
    <row r="16" spans="1:6">
      <c r="A16" s="11" t="s">
        <v>96</v>
      </c>
      <c r="B16">
        <v>46</v>
      </c>
    </row>
    <row r="17" spans="1:2">
      <c r="A17" s="11" t="s">
        <v>34</v>
      </c>
      <c r="B17">
        <v>48</v>
      </c>
    </row>
    <row r="18" spans="1:2">
      <c r="A18" s="11" t="s">
        <v>112</v>
      </c>
      <c r="B18">
        <v>51</v>
      </c>
    </row>
    <row r="19" spans="1:2">
      <c r="A19" s="11" t="s">
        <v>37</v>
      </c>
      <c r="B19">
        <v>51</v>
      </c>
    </row>
    <row r="20" spans="1:2">
      <c r="A20" s="11" t="s">
        <v>78</v>
      </c>
      <c r="B20">
        <v>52</v>
      </c>
    </row>
    <row r="21" spans="1:2">
      <c r="A21" s="11" t="s">
        <v>101</v>
      </c>
      <c r="B21">
        <v>53</v>
      </c>
    </row>
    <row r="22" spans="1:2">
      <c r="A22" s="11" t="s">
        <v>68</v>
      </c>
      <c r="B22">
        <v>54</v>
      </c>
    </row>
    <row r="23" spans="1:2">
      <c r="A23" s="11" t="s">
        <v>787</v>
      </c>
      <c r="B23">
        <v>457</v>
      </c>
    </row>
    <row r="27" spans="1:2">
      <c r="A27" t="s">
        <v>792</v>
      </c>
    </row>
    <row r="28" spans="1:2">
      <c r="A28" s="10" t="s">
        <v>786</v>
      </c>
      <c r="B28" t="s">
        <v>789</v>
      </c>
    </row>
    <row r="29" spans="1:2">
      <c r="A29" s="11" t="s">
        <v>50</v>
      </c>
      <c r="B29">
        <v>73</v>
      </c>
    </row>
    <row r="30" spans="1:2">
      <c r="A30" s="11" t="s">
        <v>45</v>
      </c>
      <c r="B30">
        <v>74</v>
      </c>
    </row>
    <row r="31" spans="1:2">
      <c r="A31" s="11" t="s">
        <v>13</v>
      </c>
      <c r="B31">
        <v>75</v>
      </c>
    </row>
    <row r="32" spans="1:2">
      <c r="A32" s="11" t="s">
        <v>79</v>
      </c>
      <c r="B32">
        <v>79</v>
      </c>
    </row>
    <row r="33" spans="1:2">
      <c r="A33" s="11" t="s">
        <v>71</v>
      </c>
      <c r="B33">
        <v>86</v>
      </c>
    </row>
    <row r="34" spans="1:2">
      <c r="A34" s="11" t="s">
        <v>787</v>
      </c>
      <c r="B34">
        <v>387</v>
      </c>
    </row>
  </sheetData>
  <mergeCells count="1">
    <mergeCell ref="E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4EEED-8D58-443E-9C23-F47A54CE7CE6}">
  <dimension ref="A1:P451"/>
  <sheetViews>
    <sheetView workbookViewId="0">
      <selection sqref="A1:H1"/>
    </sheetView>
  </sheetViews>
  <sheetFormatPr defaultRowHeight="15"/>
  <cols>
    <col min="1" max="1" width="15" bestFit="1" customWidth="1"/>
    <col min="2" max="2" width="31.42578125" bestFit="1" customWidth="1"/>
    <col min="3" max="3" width="14.42578125" bestFit="1" customWidth="1"/>
    <col min="4" max="4" width="24.85546875" bestFit="1" customWidth="1"/>
    <col min="5" max="5" width="13" customWidth="1"/>
    <col min="6" max="6" width="6.7109375" customWidth="1"/>
    <col min="7" max="7" width="17.140625" customWidth="1"/>
    <col min="8" max="8" width="9.42578125" bestFit="1" customWidth="1"/>
    <col min="9" max="9" width="18.5703125" bestFit="1" customWidth="1"/>
    <col min="10" max="10" width="110.7109375" bestFit="1" customWidth="1"/>
    <col min="11" max="11" width="15.5703125" bestFit="1" customWidth="1"/>
    <col min="12" max="12" width="7.7109375" bestFit="1" customWidth="1"/>
    <col min="13" max="14" width="11.85546875" bestFit="1" customWidth="1"/>
    <col min="15" max="15" width="20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807</v>
      </c>
      <c r="J1" t="s">
        <v>8</v>
      </c>
      <c r="K1" t="s">
        <v>9</v>
      </c>
      <c r="L1" t="s">
        <v>869</v>
      </c>
      <c r="M1" t="s">
        <v>871</v>
      </c>
      <c r="N1" t="s">
        <v>872</v>
      </c>
      <c r="O1" t="s">
        <v>873</v>
      </c>
      <c r="P1" t="s">
        <v>880</v>
      </c>
    </row>
    <row r="2" spans="1:16">
      <c r="A2" t="s">
        <v>10</v>
      </c>
      <c r="B2" t="s">
        <v>11</v>
      </c>
      <c r="C2" t="s">
        <v>12</v>
      </c>
      <c r="D2" t="s">
        <v>13</v>
      </c>
      <c r="E2" s="1" t="s">
        <v>814</v>
      </c>
      <c r="F2" t="s">
        <v>14</v>
      </c>
      <c r="G2" t="s">
        <v>15</v>
      </c>
      <c r="H2" t="s">
        <v>16</v>
      </c>
      <c r="I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Jordan Smithjordan.smith783@example.comUnited StatesTraining: Dashboard Design11:00 PM10AVegetarianVIP</v>
      </c>
      <c r="K2" t="str">
        <f>IF(COUNTIF(Clean_Table[Temp ID],Clean_Table[[#This Row],[Temp ID]])&gt;1,"Duplicate","Unique")</f>
        <v>Unique</v>
      </c>
      <c r="L2">
        <f>IF(Clean_Table[[#This Row],[Role]]="VIP",1,0)</f>
        <v>1</v>
      </c>
      <c r="M2">
        <f>IF(Clean_Table[[#This Row],[Role]]="Speaker",1,0)</f>
        <v>0</v>
      </c>
      <c r="N2">
        <f>IF(Clean_Table[[#This Row],[Role]]="Sponsor",1,0)</f>
        <v>0</v>
      </c>
      <c r="O2">
        <f>IF(Clean_Table[[#This Row],[Role]]="Attendee",1,0)</f>
        <v>0</v>
      </c>
      <c r="P2">
        <f>IF(Clean_Table[[#This Row],[Empty Cell Check]]="Missing",1,0)</f>
        <v>0</v>
      </c>
    </row>
    <row r="3" spans="1:16">
      <c r="A3" t="s">
        <v>17</v>
      </c>
      <c r="B3" t="s">
        <v>18</v>
      </c>
      <c r="C3" t="s">
        <v>12</v>
      </c>
      <c r="D3" t="s">
        <v>810</v>
      </c>
      <c r="E3" s="1" t="s">
        <v>815</v>
      </c>
      <c r="F3" t="s">
        <v>20</v>
      </c>
      <c r="G3" t="s">
        <v>810</v>
      </c>
      <c r="H3" t="s">
        <v>21</v>
      </c>
      <c r="I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Allenriley.allen285@example.comUnited States12:30 PM10BSpeaker</v>
      </c>
      <c r="K3" t="str">
        <f>IF(COUNTIF(Clean_Table[Temp ID],Clean_Table[[#This Row],[Temp ID]])&gt;1,"Duplicate","Unique")</f>
        <v>Unique</v>
      </c>
      <c r="L3">
        <f>IF(Clean_Table[[#This Row],[Role]]="VIP",1,0)</f>
        <v>0</v>
      </c>
      <c r="M3">
        <f>IF(Clean_Table[[#This Row],[Role]]="Speaker",1,0)</f>
        <v>1</v>
      </c>
      <c r="N3">
        <f>IF(Clean_Table[[#This Row],[Role]]="Sponsor",1,0)</f>
        <v>0</v>
      </c>
      <c r="O3">
        <f>IF(Clean_Table[[#This Row],[Role]]="Attendee",1,0)</f>
        <v>0</v>
      </c>
      <c r="P3">
        <f>IF(Clean_Table[[#This Row],[Empty Cell Check]]="Missing",1,0)</f>
        <v>1</v>
      </c>
    </row>
    <row r="4" spans="1:16">
      <c r="A4" t="s">
        <v>22</v>
      </c>
      <c r="B4" t="s">
        <v>23</v>
      </c>
      <c r="C4" t="s">
        <v>810</v>
      </c>
      <c r="D4" t="s">
        <v>13</v>
      </c>
      <c r="E4" s="2" t="s">
        <v>816</v>
      </c>
      <c r="F4" t="s">
        <v>20</v>
      </c>
      <c r="G4" t="s">
        <v>15</v>
      </c>
      <c r="H4" t="s">
        <v>24</v>
      </c>
      <c r="I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Hallmorgan.hall123@example.comTraining: Dashboard Design01:00 PM10BVegetarianSponsor</v>
      </c>
      <c r="K4" t="str">
        <f>IF(COUNTIF(Clean_Table[Temp ID],Clean_Table[[#This Row],[Temp ID]])&gt;1,"Duplicate","Unique")</f>
        <v>Unique</v>
      </c>
      <c r="L4">
        <f>IF(Clean_Table[[#This Row],[Role]]="VIP",1,0)</f>
        <v>0</v>
      </c>
      <c r="M4">
        <f>IF(Clean_Table[[#This Row],[Role]]="Speaker",1,0)</f>
        <v>0</v>
      </c>
      <c r="N4">
        <f>IF(Clean_Table[[#This Row],[Role]]="Sponsor",1,0)</f>
        <v>1</v>
      </c>
      <c r="O4">
        <f>IF(Clean_Table[[#This Row],[Role]]="Attendee",1,0)</f>
        <v>0</v>
      </c>
      <c r="P4">
        <f>IF(Clean_Table[[#This Row],[Empty Cell Check]]="Missing",1,0)</f>
        <v>1</v>
      </c>
    </row>
    <row r="5" spans="1:16">
      <c r="A5" t="s">
        <v>25</v>
      </c>
      <c r="B5" t="s">
        <v>26</v>
      </c>
      <c r="C5" t="s">
        <v>27</v>
      </c>
      <c r="D5" t="s">
        <v>810</v>
      </c>
      <c r="E5" s="2" t="s">
        <v>817</v>
      </c>
      <c r="F5" t="s">
        <v>20</v>
      </c>
      <c r="G5" t="s">
        <v>28</v>
      </c>
      <c r="H5" t="s">
        <v>16</v>
      </c>
      <c r="I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Jesse Clarkjesse.clark592@example.comFrance07:30 AM10BKosherVIP</v>
      </c>
      <c r="K5" t="str">
        <f>IF(COUNTIF(Clean_Table[Temp ID],Clean_Table[[#This Row],[Temp ID]])&gt;1,"Duplicate","Unique")</f>
        <v>Unique</v>
      </c>
      <c r="L5">
        <f>IF(Clean_Table[[#This Row],[Role]]="VIP",1,0)</f>
        <v>1</v>
      </c>
      <c r="M5">
        <f>IF(Clean_Table[[#This Row],[Role]]="Speaker",1,0)</f>
        <v>0</v>
      </c>
      <c r="N5">
        <f>IF(Clean_Table[[#This Row],[Role]]="Sponsor",1,0)</f>
        <v>0</v>
      </c>
      <c r="O5">
        <f>IF(Clean_Table[[#This Row],[Role]]="Attendee",1,0)</f>
        <v>0</v>
      </c>
      <c r="P5">
        <f>IF(Clean_Table[[#This Row],[Empty Cell Check]]="Missing",1,0)</f>
        <v>1</v>
      </c>
    </row>
    <row r="6" spans="1:16">
      <c r="A6" t="s">
        <v>29</v>
      </c>
      <c r="B6" t="s">
        <v>30</v>
      </c>
      <c r="C6" t="s">
        <v>12</v>
      </c>
      <c r="D6" t="s">
        <v>810</v>
      </c>
      <c r="E6" s="2" t="s">
        <v>818</v>
      </c>
      <c r="F6" t="s">
        <v>20</v>
      </c>
      <c r="G6" t="s">
        <v>31</v>
      </c>
      <c r="H6" t="s">
        <v>24</v>
      </c>
      <c r="I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Chris Hallchris.hall470@example.comUnited States03:30 AM10BNoneSponsor</v>
      </c>
      <c r="K6" t="str">
        <f>IF(COUNTIF(Clean_Table[Temp ID],Clean_Table[[#This Row],[Temp ID]])&gt;1,"Duplicate","Unique")</f>
        <v>Unique</v>
      </c>
      <c r="L6">
        <f>IF(Clean_Table[[#This Row],[Role]]="VIP",1,0)</f>
        <v>0</v>
      </c>
      <c r="M6">
        <f>IF(Clean_Table[[#This Row],[Role]]="Speaker",1,0)</f>
        <v>0</v>
      </c>
      <c r="N6">
        <f>IF(Clean_Table[[#This Row],[Role]]="Sponsor",1,0)</f>
        <v>1</v>
      </c>
      <c r="O6">
        <f>IF(Clean_Table[[#This Row],[Role]]="Attendee",1,0)</f>
        <v>0</v>
      </c>
      <c r="P6">
        <f>IF(Clean_Table[[#This Row],[Empty Cell Check]]="Missing",1,0)</f>
        <v>1</v>
      </c>
    </row>
    <row r="7" spans="1:16">
      <c r="A7" t="s">
        <v>32</v>
      </c>
      <c r="B7" t="s">
        <v>33</v>
      </c>
      <c r="C7" t="s">
        <v>34</v>
      </c>
      <c r="D7" t="s">
        <v>810</v>
      </c>
      <c r="E7" s="2" t="s">
        <v>819</v>
      </c>
      <c r="F7" t="s">
        <v>20</v>
      </c>
      <c r="G7" t="s">
        <v>810</v>
      </c>
      <c r="H7" t="s">
        <v>24</v>
      </c>
      <c r="I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Clarktaylor.clark735@example.comGermany01:00 AM10BSponsor</v>
      </c>
      <c r="K7" t="str">
        <f>IF(COUNTIF(Clean_Table[Temp ID],Clean_Table[[#This Row],[Temp ID]])&gt;1,"Duplicate","Unique")</f>
        <v>Unique</v>
      </c>
      <c r="L7">
        <f>IF(Clean_Table[[#This Row],[Role]]="VIP",1,0)</f>
        <v>0</v>
      </c>
      <c r="M7">
        <f>IF(Clean_Table[[#This Row],[Role]]="Speaker",1,0)</f>
        <v>0</v>
      </c>
      <c r="N7">
        <f>IF(Clean_Table[[#This Row],[Role]]="Sponsor",1,0)</f>
        <v>1</v>
      </c>
      <c r="O7">
        <f>IF(Clean_Table[[#This Row],[Role]]="Attendee",1,0)</f>
        <v>0</v>
      </c>
      <c r="P7">
        <f>IF(Clean_Table[[#This Row],[Empty Cell Check]]="Missing",1,0)</f>
        <v>1</v>
      </c>
    </row>
    <row r="8" spans="1:16">
      <c r="A8" t="s">
        <v>35</v>
      </c>
      <c r="B8" t="s">
        <v>36</v>
      </c>
      <c r="C8" t="s">
        <v>37</v>
      </c>
      <c r="D8" t="s">
        <v>810</v>
      </c>
      <c r="E8" s="2" t="s">
        <v>820</v>
      </c>
      <c r="F8" t="s">
        <v>38</v>
      </c>
      <c r="G8" t="s">
        <v>810</v>
      </c>
      <c r="H8" t="s">
        <v>39</v>
      </c>
      <c r="I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Halltaylor.hall935@example.comCanada08:00 PM10CAttendee</v>
      </c>
      <c r="K8" t="str">
        <f>IF(COUNTIF(Clean_Table[Temp ID],Clean_Table[[#This Row],[Temp ID]])&gt;1,"Duplicate","Unique")</f>
        <v>Unique</v>
      </c>
      <c r="L8">
        <f>IF(Clean_Table[[#This Row],[Role]]="VIP",1,0)</f>
        <v>0</v>
      </c>
      <c r="M8">
        <f>IF(Clean_Table[[#This Row],[Role]]="Speaker",1,0)</f>
        <v>0</v>
      </c>
      <c r="N8">
        <f>IF(Clean_Table[[#This Row],[Role]]="Sponsor",1,0)</f>
        <v>0</v>
      </c>
      <c r="O8">
        <f>IF(Clean_Table[[#This Row],[Role]]="Attendee",1,0)</f>
        <v>1</v>
      </c>
      <c r="P8">
        <f>IF(Clean_Table[[#This Row],[Empty Cell Check]]="Missing",1,0)</f>
        <v>1</v>
      </c>
    </row>
    <row r="9" spans="1:16">
      <c r="A9" t="s">
        <v>40</v>
      </c>
      <c r="B9" t="s">
        <v>41</v>
      </c>
      <c r="C9" t="s">
        <v>12</v>
      </c>
      <c r="D9" t="s">
        <v>810</v>
      </c>
      <c r="E9" s="1" t="s">
        <v>821</v>
      </c>
      <c r="F9" t="s">
        <v>42</v>
      </c>
      <c r="G9" t="s">
        <v>810</v>
      </c>
      <c r="H9" t="s">
        <v>24</v>
      </c>
      <c r="I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Drew Allendrew.allen56@example.comUnited States09:30 AM11ASponsor</v>
      </c>
      <c r="K9" t="str">
        <f>IF(COUNTIF(Clean_Table[Temp ID],Clean_Table[[#This Row],[Temp ID]])&gt;1,"Duplicate","Unique")</f>
        <v>Unique</v>
      </c>
      <c r="L9">
        <f>IF(Clean_Table[[#This Row],[Role]]="VIP",1,0)</f>
        <v>0</v>
      </c>
      <c r="M9">
        <f>IF(Clean_Table[[#This Row],[Role]]="Speaker",1,0)</f>
        <v>0</v>
      </c>
      <c r="N9">
        <f>IF(Clean_Table[[#This Row],[Role]]="Sponsor",1,0)</f>
        <v>1</v>
      </c>
      <c r="O9">
        <f>IF(Clean_Table[[#This Row],[Role]]="Attendee",1,0)</f>
        <v>0</v>
      </c>
      <c r="P9">
        <f>IF(Clean_Table[[#This Row],[Empty Cell Check]]="Missing",1,0)</f>
        <v>1</v>
      </c>
    </row>
    <row r="10" spans="1:16">
      <c r="A10" t="s">
        <v>43</v>
      </c>
      <c r="B10" t="s">
        <v>44</v>
      </c>
      <c r="C10" t="s">
        <v>810</v>
      </c>
      <c r="D10" t="s">
        <v>45</v>
      </c>
      <c r="E10" s="1" t="s">
        <v>822</v>
      </c>
      <c r="F10" t="s">
        <v>42</v>
      </c>
      <c r="G10" t="s">
        <v>28</v>
      </c>
      <c r="H10" t="s">
        <v>39</v>
      </c>
      <c r="I1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Wilsonmorgan.wilson271@example.comKeynote: Future of Data04:00 AM11AKosherAttendee</v>
      </c>
      <c r="K10" t="str">
        <f>IF(COUNTIF(Clean_Table[Temp ID],Clean_Table[[#This Row],[Temp ID]])&gt;1,"Duplicate","Unique")</f>
        <v>Unique</v>
      </c>
      <c r="L10">
        <f>IF(Clean_Table[[#This Row],[Role]]="VIP",1,0)</f>
        <v>0</v>
      </c>
      <c r="M10">
        <f>IF(Clean_Table[[#This Row],[Role]]="Speaker",1,0)</f>
        <v>0</v>
      </c>
      <c r="N10">
        <f>IF(Clean_Table[[#This Row],[Role]]="Sponsor",1,0)</f>
        <v>0</v>
      </c>
      <c r="O10">
        <f>IF(Clean_Table[[#This Row],[Role]]="Attendee",1,0)</f>
        <v>1</v>
      </c>
      <c r="P10">
        <f>IF(Clean_Table[[#This Row],[Empty Cell Check]]="Missing",1,0)</f>
        <v>1</v>
      </c>
    </row>
    <row r="11" spans="1:16">
      <c r="A11" t="s">
        <v>46</v>
      </c>
      <c r="B11" t="s">
        <v>47</v>
      </c>
      <c r="C11" t="s">
        <v>37</v>
      </c>
      <c r="D11" t="s">
        <v>45</v>
      </c>
      <c r="E11" s="2" t="s">
        <v>823</v>
      </c>
      <c r="F11" t="s">
        <v>42</v>
      </c>
      <c r="G11" t="s">
        <v>31</v>
      </c>
      <c r="H11" t="s">
        <v>24</v>
      </c>
      <c r="I1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1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Alex Clarkalex.clark268@example.comCanadaKeynote: Future of Data05:30 AM11ANoneSponsor</v>
      </c>
      <c r="K11" t="str">
        <f>IF(COUNTIF(Clean_Table[Temp ID],Clean_Table[[#This Row],[Temp ID]])&gt;1,"Duplicate","Unique")</f>
        <v>Unique</v>
      </c>
      <c r="L11">
        <f>IF(Clean_Table[[#This Row],[Role]]="VIP",1,0)</f>
        <v>0</v>
      </c>
      <c r="M11">
        <f>IF(Clean_Table[[#This Row],[Role]]="Speaker",1,0)</f>
        <v>0</v>
      </c>
      <c r="N11">
        <f>IF(Clean_Table[[#This Row],[Role]]="Sponsor",1,0)</f>
        <v>1</v>
      </c>
      <c r="O11">
        <f>IF(Clean_Table[[#This Row],[Role]]="Attendee",1,0)</f>
        <v>0</v>
      </c>
      <c r="P11">
        <f>IF(Clean_Table[[#This Row],[Empty Cell Check]]="Missing",1,0)</f>
        <v>0</v>
      </c>
    </row>
    <row r="12" spans="1:16">
      <c r="A12" t="s">
        <v>48</v>
      </c>
      <c r="B12" t="s">
        <v>49</v>
      </c>
      <c r="C12" t="s">
        <v>34</v>
      </c>
      <c r="D12" t="s">
        <v>50</v>
      </c>
      <c r="E12" s="2" t="s">
        <v>824</v>
      </c>
      <c r="F12" t="s">
        <v>51</v>
      </c>
      <c r="G12" t="s">
        <v>52</v>
      </c>
      <c r="H12" t="s">
        <v>16</v>
      </c>
      <c r="I1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1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Clarkjamie.clark442@example.comGermanyWorkshop: Excel Mastery06:00 PM11BVeganVIP</v>
      </c>
      <c r="K12" t="str">
        <f>IF(COUNTIF(Clean_Table[Temp ID],Clean_Table[[#This Row],[Temp ID]])&gt;1,"Duplicate","Unique")</f>
        <v>Unique</v>
      </c>
      <c r="L12">
        <f>IF(Clean_Table[[#This Row],[Role]]="VIP",1,0)</f>
        <v>1</v>
      </c>
      <c r="M12">
        <f>IF(Clean_Table[[#This Row],[Role]]="Speaker",1,0)</f>
        <v>0</v>
      </c>
      <c r="N12">
        <f>IF(Clean_Table[[#This Row],[Role]]="Sponsor",1,0)</f>
        <v>0</v>
      </c>
      <c r="O12">
        <f>IF(Clean_Table[[#This Row],[Role]]="Attendee",1,0)</f>
        <v>0</v>
      </c>
      <c r="P12">
        <f>IF(Clean_Table[[#This Row],[Empty Cell Check]]="Missing",1,0)</f>
        <v>0</v>
      </c>
    </row>
    <row r="13" spans="1:16">
      <c r="A13" t="s">
        <v>53</v>
      </c>
      <c r="B13" t="s">
        <v>54</v>
      </c>
      <c r="C13" t="s">
        <v>55</v>
      </c>
      <c r="D13" t="s">
        <v>13</v>
      </c>
      <c r="E13" s="2" t="s">
        <v>825</v>
      </c>
      <c r="F13" t="s">
        <v>56</v>
      </c>
      <c r="G13" t="s">
        <v>28</v>
      </c>
      <c r="H13" t="s">
        <v>16</v>
      </c>
      <c r="I1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1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Brownriley.brown482@example.comBrazilTraining: Dashboard Design10:00 AM11CKosherVIP</v>
      </c>
      <c r="K13" t="str">
        <f>IF(COUNTIF(Clean_Table[Temp ID],Clean_Table[[#This Row],[Temp ID]])&gt;1,"Duplicate","Unique")</f>
        <v>Unique</v>
      </c>
      <c r="L13">
        <f>IF(Clean_Table[[#This Row],[Role]]="VIP",1,0)</f>
        <v>1</v>
      </c>
      <c r="M13">
        <f>IF(Clean_Table[[#This Row],[Role]]="Speaker",1,0)</f>
        <v>0</v>
      </c>
      <c r="N13">
        <f>IF(Clean_Table[[#This Row],[Role]]="Sponsor",1,0)</f>
        <v>0</v>
      </c>
      <c r="O13">
        <f>IF(Clean_Table[[#This Row],[Role]]="Attendee",1,0)</f>
        <v>0</v>
      </c>
      <c r="P13">
        <f>IF(Clean_Table[[#This Row],[Empty Cell Check]]="Missing",1,0)</f>
        <v>0</v>
      </c>
    </row>
    <row r="14" spans="1:16">
      <c r="A14" t="s">
        <v>40</v>
      </c>
      <c r="B14" t="s">
        <v>57</v>
      </c>
      <c r="C14" t="s">
        <v>34</v>
      </c>
      <c r="D14" t="s">
        <v>13</v>
      </c>
      <c r="E14" s="1" t="s">
        <v>826</v>
      </c>
      <c r="F14" t="s">
        <v>56</v>
      </c>
      <c r="G14" t="s">
        <v>810</v>
      </c>
      <c r="H14" t="s">
        <v>16</v>
      </c>
      <c r="I1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Drew Allendrew.allen187@example.comGermanyTraining: Dashboard Design02:00 PM11CVIP</v>
      </c>
      <c r="K14" t="str">
        <f>IF(COUNTIF(Clean_Table[Temp ID],Clean_Table[[#This Row],[Temp ID]])&gt;1,"Duplicate","Unique")</f>
        <v>Unique</v>
      </c>
      <c r="L14">
        <f>IF(Clean_Table[[#This Row],[Role]]="VIP",1,0)</f>
        <v>1</v>
      </c>
      <c r="M14">
        <f>IF(Clean_Table[[#This Row],[Role]]="Speaker",1,0)</f>
        <v>0</v>
      </c>
      <c r="N14">
        <f>IF(Clean_Table[[#This Row],[Role]]="Sponsor",1,0)</f>
        <v>0</v>
      </c>
      <c r="O14">
        <f>IF(Clean_Table[[#This Row],[Role]]="Attendee",1,0)</f>
        <v>0</v>
      </c>
      <c r="P14">
        <f>IF(Clean_Table[[#This Row],[Empty Cell Check]]="Missing",1,0)</f>
        <v>1</v>
      </c>
    </row>
    <row r="15" spans="1:16">
      <c r="A15" t="s">
        <v>10</v>
      </c>
      <c r="B15" t="s">
        <v>58</v>
      </c>
      <c r="C15" t="s">
        <v>34</v>
      </c>
      <c r="D15" t="s">
        <v>45</v>
      </c>
      <c r="E15" s="1" t="s">
        <v>827</v>
      </c>
      <c r="F15" t="s">
        <v>56</v>
      </c>
      <c r="G15" t="s">
        <v>810</v>
      </c>
      <c r="H15" t="s">
        <v>24</v>
      </c>
      <c r="I1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Jordan Smithjordan.smith391@example.comGermanyKeynote: Future of Data04:30 AM11CSponsor</v>
      </c>
      <c r="K15" t="str">
        <f>IF(COUNTIF(Clean_Table[Temp ID],Clean_Table[[#This Row],[Temp ID]])&gt;1,"Duplicate","Unique")</f>
        <v>Unique</v>
      </c>
      <c r="L15">
        <f>IF(Clean_Table[[#This Row],[Role]]="VIP",1,0)</f>
        <v>0</v>
      </c>
      <c r="M15">
        <f>IF(Clean_Table[[#This Row],[Role]]="Speaker",1,0)</f>
        <v>0</v>
      </c>
      <c r="N15">
        <f>IF(Clean_Table[[#This Row],[Role]]="Sponsor",1,0)</f>
        <v>1</v>
      </c>
      <c r="O15">
        <f>IF(Clean_Table[[#This Row],[Role]]="Attendee",1,0)</f>
        <v>0</v>
      </c>
      <c r="P15">
        <f>IF(Clean_Table[[#This Row],[Empty Cell Check]]="Missing",1,0)</f>
        <v>1</v>
      </c>
    </row>
    <row r="16" spans="1:16">
      <c r="A16" t="s">
        <v>59</v>
      </c>
      <c r="B16" t="s">
        <v>60</v>
      </c>
      <c r="C16" t="s">
        <v>34</v>
      </c>
      <c r="D16" t="s">
        <v>810</v>
      </c>
      <c r="E16" s="2" t="s">
        <v>828</v>
      </c>
      <c r="F16" t="s">
        <v>56</v>
      </c>
      <c r="G16" t="s">
        <v>810</v>
      </c>
      <c r="H16" t="s">
        <v>16</v>
      </c>
      <c r="I1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Leecasey.lee206@example.comGermany04:30 PM11CVIP</v>
      </c>
      <c r="K16" t="str">
        <f>IF(COUNTIF(Clean_Table[Temp ID],Clean_Table[[#This Row],[Temp ID]])&gt;1,"Duplicate","Unique")</f>
        <v>Unique</v>
      </c>
      <c r="L16">
        <f>IF(Clean_Table[[#This Row],[Role]]="VIP",1,0)</f>
        <v>1</v>
      </c>
      <c r="M16">
        <f>IF(Clean_Table[[#This Row],[Role]]="Speaker",1,0)</f>
        <v>0</v>
      </c>
      <c r="N16">
        <f>IF(Clean_Table[[#This Row],[Role]]="Sponsor",1,0)</f>
        <v>0</v>
      </c>
      <c r="O16">
        <f>IF(Clean_Table[[#This Row],[Role]]="Attendee",1,0)</f>
        <v>0</v>
      </c>
      <c r="P16">
        <f>IF(Clean_Table[[#This Row],[Empty Cell Check]]="Missing",1,0)</f>
        <v>1</v>
      </c>
    </row>
    <row r="17" spans="1:16">
      <c r="A17" t="s">
        <v>61</v>
      </c>
      <c r="B17" t="s">
        <v>62</v>
      </c>
      <c r="C17" t="s">
        <v>37</v>
      </c>
      <c r="D17" t="s">
        <v>50</v>
      </c>
      <c r="E17" s="1" t="s">
        <v>829</v>
      </c>
      <c r="F17" t="s">
        <v>63</v>
      </c>
      <c r="G17" t="s">
        <v>28</v>
      </c>
      <c r="H17" t="s">
        <v>24</v>
      </c>
      <c r="I1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1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Johnsonriley.johnson240@example.comCanadaWorkshop: Excel Mastery10:00 PM11DKosherSponsor</v>
      </c>
      <c r="K17" t="str">
        <f>IF(COUNTIF(Clean_Table[Temp ID],Clean_Table[[#This Row],[Temp ID]])&gt;1,"Duplicate","Unique")</f>
        <v>Unique</v>
      </c>
      <c r="L17">
        <f>IF(Clean_Table[[#This Row],[Role]]="VIP",1,0)</f>
        <v>0</v>
      </c>
      <c r="M17">
        <f>IF(Clean_Table[[#This Row],[Role]]="Speaker",1,0)</f>
        <v>0</v>
      </c>
      <c r="N17">
        <f>IF(Clean_Table[[#This Row],[Role]]="Sponsor",1,0)</f>
        <v>1</v>
      </c>
      <c r="O17">
        <f>IF(Clean_Table[[#This Row],[Role]]="Attendee",1,0)</f>
        <v>0</v>
      </c>
      <c r="P17">
        <f>IF(Clean_Table[[#This Row],[Empty Cell Check]]="Missing",1,0)</f>
        <v>0</v>
      </c>
    </row>
    <row r="18" spans="1:16">
      <c r="A18" t="s">
        <v>64</v>
      </c>
      <c r="B18" s="9" t="s">
        <v>65</v>
      </c>
      <c r="C18" t="s">
        <v>37</v>
      </c>
      <c r="D18" t="s">
        <v>810</v>
      </c>
      <c r="E18" s="2" t="s">
        <v>830</v>
      </c>
      <c r="F18" t="s">
        <v>63</v>
      </c>
      <c r="G18" t="s">
        <v>28</v>
      </c>
      <c r="H18" t="s">
        <v>24</v>
      </c>
      <c r="I1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Smithjamie.smith48@example.comCanada12:00 AM11DKosherSponsor</v>
      </c>
      <c r="K18" t="str">
        <f>IF(COUNTIF(Clean_Table[Temp ID],Clean_Table[[#This Row],[Temp ID]])&gt;1,"Duplicate","Unique")</f>
        <v>Unique</v>
      </c>
      <c r="L18">
        <f>IF(Clean_Table[[#This Row],[Role]]="VIP",1,0)</f>
        <v>0</v>
      </c>
      <c r="M18">
        <f>IF(Clean_Table[[#This Row],[Role]]="Speaker",1,0)</f>
        <v>0</v>
      </c>
      <c r="N18">
        <f>IF(Clean_Table[[#This Row],[Role]]="Sponsor",1,0)</f>
        <v>1</v>
      </c>
      <c r="O18">
        <f>IF(Clean_Table[[#This Row],[Role]]="Attendee",1,0)</f>
        <v>0</v>
      </c>
      <c r="P18">
        <f>IF(Clean_Table[[#This Row],[Empty Cell Check]]="Missing",1,0)</f>
        <v>1</v>
      </c>
    </row>
    <row r="19" spans="1:16">
      <c r="A19" t="s">
        <v>66</v>
      </c>
      <c r="B19" t="s">
        <v>67</v>
      </c>
      <c r="C19" t="s">
        <v>68</v>
      </c>
      <c r="D19" t="s">
        <v>810</v>
      </c>
      <c r="E19" s="1" t="s">
        <v>831</v>
      </c>
      <c r="F19" t="s">
        <v>63</v>
      </c>
      <c r="G19" t="s">
        <v>31</v>
      </c>
      <c r="H19" t="s">
        <v>16</v>
      </c>
      <c r="I1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Allencasey.allen429@example.comIndia06:30 PM11DNoneVIP</v>
      </c>
      <c r="K19" t="str">
        <f>IF(COUNTIF(Clean_Table[Temp ID],Clean_Table[[#This Row],[Temp ID]])&gt;1,"Duplicate","Unique")</f>
        <v>Unique</v>
      </c>
      <c r="L19">
        <f>IF(Clean_Table[[#This Row],[Role]]="VIP",1,0)</f>
        <v>1</v>
      </c>
      <c r="M19">
        <f>IF(Clean_Table[[#This Row],[Role]]="Speaker",1,0)</f>
        <v>0</v>
      </c>
      <c r="N19">
        <f>IF(Clean_Table[[#This Row],[Role]]="Sponsor",1,0)</f>
        <v>0</v>
      </c>
      <c r="O19">
        <f>IF(Clean_Table[[#This Row],[Role]]="Attendee",1,0)</f>
        <v>0</v>
      </c>
      <c r="P19">
        <f>IF(Clean_Table[[#This Row],[Empty Cell Check]]="Missing",1,0)</f>
        <v>1</v>
      </c>
    </row>
    <row r="20" spans="1:16">
      <c r="A20" t="s">
        <v>69</v>
      </c>
      <c r="B20" t="s">
        <v>70</v>
      </c>
      <c r="C20" t="s">
        <v>27</v>
      </c>
      <c r="D20" t="s">
        <v>71</v>
      </c>
      <c r="E20" s="1" t="s">
        <v>832</v>
      </c>
      <c r="F20" t="s">
        <v>72</v>
      </c>
      <c r="G20" t="s">
        <v>15</v>
      </c>
      <c r="H20" t="s">
        <v>24</v>
      </c>
      <c r="I2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Clarkmorgan.clark774@example.comFranceWebinar: AI Ethics12:00 PM12AVegetarianSponsor</v>
      </c>
      <c r="K20" t="str">
        <f>IF(COUNTIF(Clean_Table[Temp ID],Clean_Table[[#This Row],[Temp ID]])&gt;1,"Duplicate","Unique")</f>
        <v>Unique</v>
      </c>
      <c r="L20">
        <f>IF(Clean_Table[[#This Row],[Role]]="VIP",1,0)</f>
        <v>0</v>
      </c>
      <c r="M20">
        <f>IF(Clean_Table[[#This Row],[Role]]="Speaker",1,0)</f>
        <v>0</v>
      </c>
      <c r="N20">
        <f>IF(Clean_Table[[#This Row],[Role]]="Sponsor",1,0)</f>
        <v>1</v>
      </c>
      <c r="O20">
        <f>IF(Clean_Table[[#This Row],[Role]]="Attendee",1,0)</f>
        <v>0</v>
      </c>
      <c r="P20">
        <f>IF(Clean_Table[[#This Row],[Empty Cell Check]]="Missing",1,0)</f>
        <v>0</v>
      </c>
    </row>
    <row r="21" spans="1:16">
      <c r="A21" t="s">
        <v>73</v>
      </c>
      <c r="B21" t="s">
        <v>74</v>
      </c>
      <c r="C21" t="s">
        <v>55</v>
      </c>
      <c r="D21" t="s">
        <v>810</v>
      </c>
      <c r="E21" s="2" t="s">
        <v>824</v>
      </c>
      <c r="F21" t="s">
        <v>75</v>
      </c>
      <c r="G21" t="s">
        <v>810</v>
      </c>
      <c r="H21" t="s">
        <v>16</v>
      </c>
      <c r="I2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Smithtaylor.smith755@example.comBrazil06:00 PM12DVIP</v>
      </c>
      <c r="K21" t="str">
        <f>IF(COUNTIF(Clean_Table[Temp ID],Clean_Table[[#This Row],[Temp ID]])&gt;1,"Duplicate","Unique")</f>
        <v>Unique</v>
      </c>
      <c r="L21">
        <f>IF(Clean_Table[[#This Row],[Role]]="VIP",1,0)</f>
        <v>1</v>
      </c>
      <c r="M21">
        <f>IF(Clean_Table[[#This Row],[Role]]="Speaker",1,0)</f>
        <v>0</v>
      </c>
      <c r="N21">
        <f>IF(Clean_Table[[#This Row],[Role]]="Sponsor",1,0)</f>
        <v>0</v>
      </c>
      <c r="O21">
        <f>IF(Clean_Table[[#This Row],[Role]]="Attendee",1,0)</f>
        <v>0</v>
      </c>
      <c r="P21">
        <f>IF(Clean_Table[[#This Row],[Empty Cell Check]]="Missing",1,0)</f>
        <v>1</v>
      </c>
    </row>
    <row r="22" spans="1:16">
      <c r="A22" t="s">
        <v>76</v>
      </c>
      <c r="B22" t="s">
        <v>77</v>
      </c>
      <c r="C22" t="s">
        <v>78</v>
      </c>
      <c r="D22" t="s">
        <v>79</v>
      </c>
      <c r="E22" s="1" t="s">
        <v>833</v>
      </c>
      <c r="F22" t="s">
        <v>80</v>
      </c>
      <c r="G22" t="s">
        <v>31</v>
      </c>
      <c r="H22" t="s">
        <v>16</v>
      </c>
      <c r="I2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Chris Clarkchris.clark783@example.comAustraliaPanel: Women in Tech07:00 AM13CNoneVIP</v>
      </c>
      <c r="K22" t="str">
        <f>IF(COUNTIF(Clean_Table[Temp ID],Clean_Table[[#This Row],[Temp ID]])&gt;1,"Duplicate","Unique")</f>
        <v>Unique</v>
      </c>
      <c r="L22">
        <f>IF(Clean_Table[[#This Row],[Role]]="VIP",1,0)</f>
        <v>1</v>
      </c>
      <c r="M22">
        <f>IF(Clean_Table[[#This Row],[Role]]="Speaker",1,0)</f>
        <v>0</v>
      </c>
      <c r="N22">
        <f>IF(Clean_Table[[#This Row],[Role]]="Sponsor",1,0)</f>
        <v>0</v>
      </c>
      <c r="O22">
        <f>IF(Clean_Table[[#This Row],[Role]]="Attendee",1,0)</f>
        <v>0</v>
      </c>
      <c r="P22">
        <f>IF(Clean_Table[[#This Row],[Empty Cell Check]]="Missing",1,0)</f>
        <v>0</v>
      </c>
    </row>
    <row r="23" spans="1:16">
      <c r="A23" t="s">
        <v>81</v>
      </c>
      <c r="B23" t="s">
        <v>82</v>
      </c>
      <c r="C23" t="s">
        <v>12</v>
      </c>
      <c r="D23" t="s">
        <v>810</v>
      </c>
      <c r="E23" s="2" t="s">
        <v>816</v>
      </c>
      <c r="F23" t="s">
        <v>80</v>
      </c>
      <c r="G23" t="s">
        <v>31</v>
      </c>
      <c r="H23" t="s">
        <v>16</v>
      </c>
      <c r="I2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Hallcasey.hall845@example.comUnited States01:00 PM13CNoneVIP</v>
      </c>
      <c r="K23" t="str">
        <f>IF(COUNTIF(Clean_Table[Temp ID],Clean_Table[[#This Row],[Temp ID]])&gt;1,"Duplicate","Unique")</f>
        <v>Unique</v>
      </c>
      <c r="L23">
        <f>IF(Clean_Table[[#This Row],[Role]]="VIP",1,0)</f>
        <v>1</v>
      </c>
      <c r="M23">
        <f>IF(Clean_Table[[#This Row],[Role]]="Speaker",1,0)</f>
        <v>0</v>
      </c>
      <c r="N23">
        <f>IF(Clean_Table[[#This Row],[Role]]="Sponsor",1,0)</f>
        <v>0</v>
      </c>
      <c r="O23">
        <f>IF(Clean_Table[[#This Row],[Role]]="Attendee",1,0)</f>
        <v>0</v>
      </c>
      <c r="P23">
        <f>IF(Clean_Table[[#This Row],[Empty Cell Check]]="Missing",1,0)</f>
        <v>1</v>
      </c>
    </row>
    <row r="24" spans="1:16">
      <c r="A24" t="s">
        <v>83</v>
      </c>
      <c r="B24" t="s">
        <v>84</v>
      </c>
      <c r="C24" t="s">
        <v>37</v>
      </c>
      <c r="D24" t="s">
        <v>50</v>
      </c>
      <c r="E24" s="1" t="s">
        <v>834</v>
      </c>
      <c r="F24" t="s">
        <v>80</v>
      </c>
      <c r="G24" t="s">
        <v>810</v>
      </c>
      <c r="H24" t="s">
        <v>24</v>
      </c>
      <c r="I2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Chris Walkerchris.walker565@example.comCanadaWorkshop: Excel Mastery05:00 AM13CSponsor</v>
      </c>
      <c r="K24" t="str">
        <f>IF(COUNTIF(Clean_Table[Temp ID],Clean_Table[[#This Row],[Temp ID]])&gt;1,"Duplicate","Unique")</f>
        <v>Unique</v>
      </c>
      <c r="L24">
        <f>IF(Clean_Table[[#This Row],[Role]]="VIP",1,0)</f>
        <v>0</v>
      </c>
      <c r="M24">
        <f>IF(Clean_Table[[#This Row],[Role]]="Speaker",1,0)</f>
        <v>0</v>
      </c>
      <c r="N24">
        <f>IF(Clean_Table[[#This Row],[Role]]="Sponsor",1,0)</f>
        <v>1</v>
      </c>
      <c r="O24">
        <f>IF(Clean_Table[[#This Row],[Role]]="Attendee",1,0)</f>
        <v>0</v>
      </c>
      <c r="P24">
        <f>IF(Clean_Table[[#This Row],[Empty Cell Check]]="Missing",1,0)</f>
        <v>1</v>
      </c>
    </row>
    <row r="25" spans="1:16">
      <c r="A25" t="s">
        <v>85</v>
      </c>
      <c r="B25" t="s">
        <v>86</v>
      </c>
      <c r="C25" t="s">
        <v>78</v>
      </c>
      <c r="D25" t="s">
        <v>810</v>
      </c>
      <c r="E25" s="2" t="s">
        <v>835</v>
      </c>
      <c r="F25" t="s">
        <v>87</v>
      </c>
      <c r="G25" t="s">
        <v>810</v>
      </c>
      <c r="H25" t="s">
        <v>16</v>
      </c>
      <c r="I2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Jesse Johnsonjesse.johnson655@example.comAustralia02:30 PM13DVIP</v>
      </c>
      <c r="K25" t="str">
        <f>IF(COUNTIF(Clean_Table[Temp ID],Clean_Table[[#This Row],[Temp ID]])&gt;1,"Duplicate","Unique")</f>
        <v>Unique</v>
      </c>
      <c r="L25">
        <f>IF(Clean_Table[[#This Row],[Role]]="VIP",1,0)</f>
        <v>1</v>
      </c>
      <c r="M25">
        <f>IF(Clean_Table[[#This Row],[Role]]="Speaker",1,0)</f>
        <v>0</v>
      </c>
      <c r="N25">
        <f>IF(Clean_Table[[#This Row],[Role]]="Sponsor",1,0)</f>
        <v>0</v>
      </c>
      <c r="O25">
        <f>IF(Clean_Table[[#This Row],[Role]]="Attendee",1,0)</f>
        <v>0</v>
      </c>
      <c r="P25">
        <f>IF(Clean_Table[[#This Row],[Empty Cell Check]]="Missing",1,0)</f>
        <v>1</v>
      </c>
    </row>
    <row r="26" spans="1:16">
      <c r="A26" t="s">
        <v>88</v>
      </c>
      <c r="B26" t="s">
        <v>89</v>
      </c>
      <c r="C26" t="s">
        <v>78</v>
      </c>
      <c r="D26" t="s">
        <v>45</v>
      </c>
      <c r="E26" s="2" t="s">
        <v>836</v>
      </c>
      <c r="F26" t="s">
        <v>90</v>
      </c>
      <c r="G26" t="s">
        <v>91</v>
      </c>
      <c r="H26" t="s">
        <v>24</v>
      </c>
      <c r="I2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Jordan Lewisjordan.lewis455@example.comAustraliaKeynote: Future of Data03:00 PM14AHalalSponsor</v>
      </c>
      <c r="K26" t="str">
        <f>IF(COUNTIF(Clean_Table[Temp ID],Clean_Table[[#This Row],[Temp ID]])&gt;1,"Duplicate","Unique")</f>
        <v>Unique</v>
      </c>
      <c r="L26">
        <f>IF(Clean_Table[[#This Row],[Role]]="VIP",1,0)</f>
        <v>0</v>
      </c>
      <c r="M26">
        <f>IF(Clean_Table[[#This Row],[Role]]="Speaker",1,0)</f>
        <v>0</v>
      </c>
      <c r="N26">
        <f>IF(Clean_Table[[#This Row],[Role]]="Sponsor",1,0)</f>
        <v>1</v>
      </c>
      <c r="O26">
        <f>IF(Clean_Table[[#This Row],[Role]]="Attendee",1,0)</f>
        <v>0</v>
      </c>
      <c r="P26">
        <f>IF(Clean_Table[[#This Row],[Empty Cell Check]]="Missing",1,0)</f>
        <v>0</v>
      </c>
    </row>
    <row r="27" spans="1:16">
      <c r="A27" t="s">
        <v>92</v>
      </c>
      <c r="B27" t="s">
        <v>93</v>
      </c>
      <c r="C27" t="s">
        <v>12</v>
      </c>
      <c r="D27" t="s">
        <v>810</v>
      </c>
      <c r="E27" s="1" t="s">
        <v>837</v>
      </c>
      <c r="F27" t="s">
        <v>90</v>
      </c>
      <c r="G27" t="s">
        <v>31</v>
      </c>
      <c r="H27" t="s">
        <v>24</v>
      </c>
      <c r="I2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Jordan Brownjordan.brown914@example.comUnited States10:30 AM14ANoneSponsor</v>
      </c>
      <c r="K27" t="str">
        <f>IF(COUNTIF(Clean_Table[Temp ID],Clean_Table[[#This Row],[Temp ID]])&gt;1,"Duplicate","Unique")</f>
        <v>Unique</v>
      </c>
      <c r="L27">
        <f>IF(Clean_Table[[#This Row],[Role]]="VIP",1,0)</f>
        <v>0</v>
      </c>
      <c r="M27">
        <f>IF(Clean_Table[[#This Row],[Role]]="Speaker",1,0)</f>
        <v>0</v>
      </c>
      <c r="N27">
        <f>IF(Clean_Table[[#This Row],[Role]]="Sponsor",1,0)</f>
        <v>1</v>
      </c>
      <c r="O27">
        <f>IF(Clean_Table[[#This Row],[Role]]="Attendee",1,0)</f>
        <v>0</v>
      </c>
      <c r="P27">
        <f>IF(Clean_Table[[#This Row],[Empty Cell Check]]="Missing",1,0)</f>
        <v>1</v>
      </c>
    </row>
    <row r="28" spans="1:16">
      <c r="A28" t="s">
        <v>94</v>
      </c>
      <c r="B28" t="s">
        <v>95</v>
      </c>
      <c r="C28" t="s">
        <v>96</v>
      </c>
      <c r="D28" t="s">
        <v>71</v>
      </c>
      <c r="E28" s="1" t="s">
        <v>838</v>
      </c>
      <c r="F28" t="s">
        <v>97</v>
      </c>
      <c r="G28" t="s">
        <v>810</v>
      </c>
      <c r="H28" t="s">
        <v>16</v>
      </c>
      <c r="I2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Alex Brownalex.brown701@example.comUnited KingdomWebinar: AI Ethics03:30 PM14BVIP</v>
      </c>
      <c r="K28" t="str">
        <f>IF(COUNTIF(Clean_Table[Temp ID],Clean_Table[[#This Row],[Temp ID]])&gt;1,"Duplicate","Unique")</f>
        <v>Unique</v>
      </c>
      <c r="L28">
        <f>IF(Clean_Table[[#This Row],[Role]]="VIP",1,0)</f>
        <v>1</v>
      </c>
      <c r="M28">
        <f>IF(Clean_Table[[#This Row],[Role]]="Speaker",1,0)</f>
        <v>0</v>
      </c>
      <c r="N28">
        <f>IF(Clean_Table[[#This Row],[Role]]="Sponsor",1,0)</f>
        <v>0</v>
      </c>
      <c r="O28">
        <f>IF(Clean_Table[[#This Row],[Role]]="Attendee",1,0)</f>
        <v>0</v>
      </c>
      <c r="P28">
        <f>IF(Clean_Table[[#This Row],[Empty Cell Check]]="Missing",1,0)</f>
        <v>1</v>
      </c>
    </row>
    <row r="29" spans="1:16">
      <c r="A29" t="s">
        <v>69</v>
      </c>
      <c r="B29" t="s">
        <v>98</v>
      </c>
      <c r="C29" t="s">
        <v>37</v>
      </c>
      <c r="D29" t="s">
        <v>45</v>
      </c>
      <c r="E29" s="1" t="s">
        <v>839</v>
      </c>
      <c r="F29" t="s">
        <v>97</v>
      </c>
      <c r="G29" t="s">
        <v>810</v>
      </c>
      <c r="H29" t="s">
        <v>24</v>
      </c>
      <c r="I2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Clarkmorgan.clark527@example.comCanadaKeynote: Future of Data09:00 AM14BSponsor</v>
      </c>
      <c r="K29" t="str">
        <f>IF(COUNTIF(Clean_Table[Temp ID],Clean_Table[[#This Row],[Temp ID]])&gt;1,"Duplicate","Unique")</f>
        <v>Unique</v>
      </c>
      <c r="L29">
        <f>IF(Clean_Table[[#This Row],[Role]]="VIP",1,0)</f>
        <v>0</v>
      </c>
      <c r="M29">
        <f>IF(Clean_Table[[#This Row],[Role]]="Speaker",1,0)</f>
        <v>0</v>
      </c>
      <c r="N29">
        <f>IF(Clean_Table[[#This Row],[Role]]="Sponsor",1,0)</f>
        <v>1</v>
      </c>
      <c r="O29">
        <f>IF(Clean_Table[[#This Row],[Role]]="Attendee",1,0)</f>
        <v>0</v>
      </c>
      <c r="P29">
        <f>IF(Clean_Table[[#This Row],[Empty Cell Check]]="Missing",1,0)</f>
        <v>1</v>
      </c>
    </row>
    <row r="30" spans="1:16">
      <c r="A30" t="s">
        <v>99</v>
      </c>
      <c r="B30" t="s">
        <v>100</v>
      </c>
      <c r="C30" t="s">
        <v>101</v>
      </c>
      <c r="D30" t="s">
        <v>45</v>
      </c>
      <c r="E30" s="2" t="s">
        <v>840</v>
      </c>
      <c r="F30" t="s">
        <v>102</v>
      </c>
      <c r="G30" t="s">
        <v>810</v>
      </c>
      <c r="H30" t="s">
        <v>16</v>
      </c>
      <c r="I3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Drew Lewisdrew.lewis936@example.comJapanKeynote: Future of Data08:30 AM14CVIP</v>
      </c>
      <c r="K30" t="str">
        <f>IF(COUNTIF(Clean_Table[Temp ID],Clean_Table[[#This Row],[Temp ID]])&gt;1,"Duplicate","Unique")</f>
        <v>Unique</v>
      </c>
      <c r="L30">
        <f>IF(Clean_Table[[#This Row],[Role]]="VIP",1,0)</f>
        <v>1</v>
      </c>
      <c r="M30">
        <f>IF(Clean_Table[[#This Row],[Role]]="Speaker",1,0)</f>
        <v>0</v>
      </c>
      <c r="N30">
        <f>IF(Clean_Table[[#This Row],[Role]]="Sponsor",1,0)</f>
        <v>0</v>
      </c>
      <c r="O30">
        <f>IF(Clean_Table[[#This Row],[Role]]="Attendee",1,0)</f>
        <v>0</v>
      </c>
      <c r="P30">
        <f>IF(Clean_Table[[#This Row],[Empty Cell Check]]="Missing",1,0)</f>
        <v>1</v>
      </c>
    </row>
    <row r="31" spans="1:16">
      <c r="A31" t="s">
        <v>17</v>
      </c>
      <c r="B31" t="s">
        <v>103</v>
      </c>
      <c r="C31" t="s">
        <v>55</v>
      </c>
      <c r="D31" t="s">
        <v>50</v>
      </c>
      <c r="E31" s="2" t="s">
        <v>841</v>
      </c>
      <c r="F31" t="s">
        <v>104</v>
      </c>
      <c r="G31" t="s">
        <v>52</v>
      </c>
      <c r="H31" t="s">
        <v>24</v>
      </c>
      <c r="I3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3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Allenriley.allen171@example.comBrazilWorkshop: Excel Mastery03:00 AM15AVeganSponsor</v>
      </c>
      <c r="K31" t="str">
        <f>IF(COUNTIF(Clean_Table[Temp ID],Clean_Table[[#This Row],[Temp ID]])&gt;1,"Duplicate","Unique")</f>
        <v>Unique</v>
      </c>
      <c r="L31">
        <f>IF(Clean_Table[[#This Row],[Role]]="VIP",1,0)</f>
        <v>0</v>
      </c>
      <c r="M31">
        <f>IF(Clean_Table[[#This Row],[Role]]="Speaker",1,0)</f>
        <v>0</v>
      </c>
      <c r="N31">
        <f>IF(Clean_Table[[#This Row],[Role]]="Sponsor",1,0)</f>
        <v>1</v>
      </c>
      <c r="O31">
        <f>IF(Clean_Table[[#This Row],[Role]]="Attendee",1,0)</f>
        <v>0</v>
      </c>
      <c r="P31">
        <f>IF(Clean_Table[[#This Row],[Empty Cell Check]]="Missing",1,0)</f>
        <v>0</v>
      </c>
    </row>
    <row r="32" spans="1:16">
      <c r="A32" t="s">
        <v>105</v>
      </c>
      <c r="B32" t="s">
        <v>106</v>
      </c>
      <c r="C32" t="s">
        <v>55</v>
      </c>
      <c r="D32" t="s">
        <v>45</v>
      </c>
      <c r="E32" s="2" t="s">
        <v>835</v>
      </c>
      <c r="F32" t="s">
        <v>107</v>
      </c>
      <c r="G32" t="s">
        <v>31</v>
      </c>
      <c r="H32" t="s">
        <v>39</v>
      </c>
      <c r="I3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3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Jesse Allenjesse.allen407@example.comBrazilKeynote: Future of Data02:30 PM15CNoneAttendee</v>
      </c>
      <c r="K32" t="str">
        <f>IF(COUNTIF(Clean_Table[Temp ID],Clean_Table[[#This Row],[Temp ID]])&gt;1,"Duplicate","Unique")</f>
        <v>Unique</v>
      </c>
      <c r="L32">
        <f>IF(Clean_Table[[#This Row],[Role]]="VIP",1,0)</f>
        <v>0</v>
      </c>
      <c r="M32">
        <f>IF(Clean_Table[[#This Row],[Role]]="Speaker",1,0)</f>
        <v>0</v>
      </c>
      <c r="N32">
        <f>IF(Clean_Table[[#This Row],[Role]]="Sponsor",1,0)</f>
        <v>0</v>
      </c>
      <c r="O32">
        <f>IF(Clean_Table[[#This Row],[Role]]="Attendee",1,0)</f>
        <v>1</v>
      </c>
      <c r="P32">
        <f>IF(Clean_Table[[#This Row],[Empty Cell Check]]="Missing",1,0)</f>
        <v>0</v>
      </c>
    </row>
    <row r="33" spans="1:16">
      <c r="A33" t="s">
        <v>108</v>
      </c>
      <c r="B33" t="s">
        <v>109</v>
      </c>
      <c r="C33" t="s">
        <v>27</v>
      </c>
      <c r="D33" t="s">
        <v>50</v>
      </c>
      <c r="E33" s="1" t="s">
        <v>839</v>
      </c>
      <c r="F33" t="s">
        <v>107</v>
      </c>
      <c r="G33" t="s">
        <v>810</v>
      </c>
      <c r="H33" t="s">
        <v>39</v>
      </c>
      <c r="I3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Wilsonjamie.wilson129@example.comFranceWorkshop: Excel Mastery09:00 AM15CAttendee</v>
      </c>
      <c r="K33" t="str">
        <f>IF(COUNTIF(Clean_Table[Temp ID],Clean_Table[[#This Row],[Temp ID]])&gt;1,"Duplicate","Unique")</f>
        <v>Unique</v>
      </c>
      <c r="L33">
        <f>IF(Clean_Table[[#This Row],[Role]]="VIP",1,0)</f>
        <v>0</v>
      </c>
      <c r="M33">
        <f>IF(Clean_Table[[#This Row],[Role]]="Speaker",1,0)</f>
        <v>0</v>
      </c>
      <c r="N33">
        <f>IF(Clean_Table[[#This Row],[Role]]="Sponsor",1,0)</f>
        <v>0</v>
      </c>
      <c r="O33">
        <f>IF(Clean_Table[[#This Row],[Role]]="Attendee",1,0)</f>
        <v>1</v>
      </c>
      <c r="P33">
        <f>IF(Clean_Table[[#This Row],[Empty Cell Check]]="Missing",1,0)</f>
        <v>1</v>
      </c>
    </row>
    <row r="34" spans="1:16">
      <c r="A34" t="s">
        <v>110</v>
      </c>
      <c r="B34" t="s">
        <v>111</v>
      </c>
      <c r="C34" t="s">
        <v>112</v>
      </c>
      <c r="D34" t="s">
        <v>71</v>
      </c>
      <c r="E34" s="1" t="s">
        <v>833</v>
      </c>
      <c r="F34" t="s">
        <v>113</v>
      </c>
      <c r="G34" t="s">
        <v>91</v>
      </c>
      <c r="H34" t="s">
        <v>39</v>
      </c>
      <c r="I3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3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Jordan Leejordan.lee280@example.comNigeriaWebinar: AI Ethics07:00 AM15DHalalAttendee</v>
      </c>
      <c r="K34" t="str">
        <f>IF(COUNTIF(Clean_Table[Temp ID],Clean_Table[[#This Row],[Temp ID]])&gt;1,"Duplicate","Unique")</f>
        <v>Unique</v>
      </c>
      <c r="L34">
        <f>IF(Clean_Table[[#This Row],[Role]]="VIP",1,0)</f>
        <v>0</v>
      </c>
      <c r="M34">
        <f>IF(Clean_Table[[#This Row],[Role]]="Speaker",1,0)</f>
        <v>0</v>
      </c>
      <c r="N34">
        <f>IF(Clean_Table[[#This Row],[Role]]="Sponsor",1,0)</f>
        <v>0</v>
      </c>
      <c r="O34">
        <f>IF(Clean_Table[[#This Row],[Role]]="Attendee",1,0)</f>
        <v>1</v>
      </c>
      <c r="P34">
        <f>IF(Clean_Table[[#This Row],[Empty Cell Check]]="Missing",1,0)</f>
        <v>0</v>
      </c>
    </row>
    <row r="35" spans="1:16">
      <c r="A35" t="s">
        <v>114</v>
      </c>
      <c r="B35" t="s">
        <v>115</v>
      </c>
      <c r="C35" t="s">
        <v>810</v>
      </c>
      <c r="D35" t="s">
        <v>13</v>
      </c>
      <c r="E35" s="2" t="s">
        <v>842</v>
      </c>
      <c r="F35" t="s">
        <v>113</v>
      </c>
      <c r="G35" t="s">
        <v>91</v>
      </c>
      <c r="H35" t="s">
        <v>24</v>
      </c>
      <c r="I3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Drew Wilsondrew.wilson671@example.comTraining: Dashboard Design11:00 AM15DHalalSponsor</v>
      </c>
      <c r="K35" t="str">
        <f>IF(COUNTIF(Clean_Table[Temp ID],Clean_Table[[#This Row],[Temp ID]])&gt;1,"Duplicate","Unique")</f>
        <v>Unique</v>
      </c>
      <c r="L35">
        <f>IF(Clean_Table[[#This Row],[Role]]="VIP",1,0)</f>
        <v>0</v>
      </c>
      <c r="M35">
        <f>IF(Clean_Table[[#This Row],[Role]]="Speaker",1,0)</f>
        <v>0</v>
      </c>
      <c r="N35">
        <f>IF(Clean_Table[[#This Row],[Role]]="Sponsor",1,0)</f>
        <v>1</v>
      </c>
      <c r="O35">
        <f>IF(Clean_Table[[#This Row],[Role]]="Attendee",1,0)</f>
        <v>0</v>
      </c>
      <c r="P35">
        <f>IF(Clean_Table[[#This Row],[Empty Cell Check]]="Missing",1,0)</f>
        <v>1</v>
      </c>
    </row>
    <row r="36" spans="1:16">
      <c r="A36" t="s">
        <v>61</v>
      </c>
      <c r="B36" t="s">
        <v>116</v>
      </c>
      <c r="C36" t="s">
        <v>55</v>
      </c>
      <c r="D36" t="s">
        <v>810</v>
      </c>
      <c r="E36" s="1" t="s">
        <v>820</v>
      </c>
      <c r="F36" t="s">
        <v>113</v>
      </c>
      <c r="G36" t="s">
        <v>810</v>
      </c>
      <c r="H36" t="s">
        <v>39</v>
      </c>
      <c r="I3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Johnsonriley.johnson765@example.comBrazil08:00 PM15DAttendee</v>
      </c>
      <c r="K36" t="str">
        <f>IF(COUNTIF(Clean_Table[Temp ID],Clean_Table[[#This Row],[Temp ID]])&gt;1,"Duplicate","Unique")</f>
        <v>Unique</v>
      </c>
      <c r="L36">
        <f>IF(Clean_Table[[#This Row],[Role]]="VIP",1,0)</f>
        <v>0</v>
      </c>
      <c r="M36">
        <f>IF(Clean_Table[[#This Row],[Role]]="Speaker",1,0)</f>
        <v>0</v>
      </c>
      <c r="N36">
        <f>IF(Clean_Table[[#This Row],[Role]]="Sponsor",1,0)</f>
        <v>0</v>
      </c>
      <c r="O36">
        <f>IF(Clean_Table[[#This Row],[Role]]="Attendee",1,0)</f>
        <v>1</v>
      </c>
      <c r="P36">
        <f>IF(Clean_Table[[#This Row],[Empty Cell Check]]="Missing",1,0)</f>
        <v>1</v>
      </c>
    </row>
    <row r="37" spans="1:16">
      <c r="A37" t="s">
        <v>117</v>
      </c>
      <c r="B37" t="s">
        <v>118</v>
      </c>
      <c r="C37" t="s">
        <v>34</v>
      </c>
      <c r="D37" t="s">
        <v>71</v>
      </c>
      <c r="E37" s="1" t="s">
        <v>843</v>
      </c>
      <c r="F37" t="s">
        <v>113</v>
      </c>
      <c r="G37" t="s">
        <v>810</v>
      </c>
      <c r="H37" t="s">
        <v>24</v>
      </c>
      <c r="I3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Wilsontaylor.wilson529@example.comGermanyWebinar: AI Ethics06:30 AM15DSponsor</v>
      </c>
      <c r="K37" t="str">
        <f>IF(COUNTIF(Clean_Table[Temp ID],Clean_Table[[#This Row],[Temp ID]])&gt;1,"Duplicate","Unique")</f>
        <v>Unique</v>
      </c>
      <c r="L37">
        <f>IF(Clean_Table[[#This Row],[Role]]="VIP",1,0)</f>
        <v>0</v>
      </c>
      <c r="M37">
        <f>IF(Clean_Table[[#This Row],[Role]]="Speaker",1,0)</f>
        <v>0</v>
      </c>
      <c r="N37">
        <f>IF(Clean_Table[[#This Row],[Role]]="Sponsor",1,0)</f>
        <v>1</v>
      </c>
      <c r="O37">
        <f>IF(Clean_Table[[#This Row],[Role]]="Attendee",1,0)</f>
        <v>0</v>
      </c>
      <c r="P37">
        <f>IF(Clean_Table[[#This Row],[Empty Cell Check]]="Missing",1,0)</f>
        <v>1</v>
      </c>
    </row>
    <row r="38" spans="1:16">
      <c r="A38" t="s">
        <v>119</v>
      </c>
      <c r="B38" t="s">
        <v>120</v>
      </c>
      <c r="C38" t="s">
        <v>12</v>
      </c>
      <c r="D38" t="s">
        <v>50</v>
      </c>
      <c r="E38" s="2" t="s">
        <v>844</v>
      </c>
      <c r="F38" t="s">
        <v>113</v>
      </c>
      <c r="G38" t="s">
        <v>810</v>
      </c>
      <c r="H38" t="s">
        <v>24</v>
      </c>
      <c r="I3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Lewismorgan.lewis504@example.comUnited StatesWorkshop: Excel Mastery02:00 AM15DSponsor</v>
      </c>
      <c r="K38" t="str">
        <f>IF(COUNTIF(Clean_Table[Temp ID],Clean_Table[[#This Row],[Temp ID]])&gt;1,"Duplicate","Unique")</f>
        <v>Unique</v>
      </c>
      <c r="L38">
        <f>IF(Clean_Table[[#This Row],[Role]]="VIP",1,0)</f>
        <v>0</v>
      </c>
      <c r="M38">
        <f>IF(Clean_Table[[#This Row],[Role]]="Speaker",1,0)</f>
        <v>0</v>
      </c>
      <c r="N38">
        <f>IF(Clean_Table[[#This Row],[Role]]="Sponsor",1,0)</f>
        <v>1</v>
      </c>
      <c r="O38">
        <f>IF(Clean_Table[[#This Row],[Role]]="Attendee",1,0)</f>
        <v>0</v>
      </c>
      <c r="P38">
        <f>IF(Clean_Table[[#This Row],[Empty Cell Check]]="Missing",1,0)</f>
        <v>1</v>
      </c>
    </row>
    <row r="39" spans="1:16">
      <c r="A39" t="s">
        <v>121</v>
      </c>
      <c r="B39" t="s">
        <v>122</v>
      </c>
      <c r="C39" t="s">
        <v>810</v>
      </c>
      <c r="D39" t="s">
        <v>50</v>
      </c>
      <c r="E39" s="2" t="s">
        <v>824</v>
      </c>
      <c r="F39" t="s">
        <v>113</v>
      </c>
      <c r="G39" t="s">
        <v>810</v>
      </c>
      <c r="H39" t="s">
        <v>39</v>
      </c>
      <c r="I3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Jesse Lewisjesse.lewis635@example.comWorkshop: Excel Mastery06:00 PM15DAttendee</v>
      </c>
      <c r="K39" t="str">
        <f>IF(COUNTIF(Clean_Table[Temp ID],Clean_Table[[#This Row],[Temp ID]])&gt;1,"Duplicate","Unique")</f>
        <v>Unique</v>
      </c>
      <c r="L39">
        <f>IF(Clean_Table[[#This Row],[Role]]="VIP",1,0)</f>
        <v>0</v>
      </c>
      <c r="M39">
        <f>IF(Clean_Table[[#This Row],[Role]]="Speaker",1,0)</f>
        <v>0</v>
      </c>
      <c r="N39">
        <f>IF(Clean_Table[[#This Row],[Role]]="Sponsor",1,0)</f>
        <v>0</v>
      </c>
      <c r="O39">
        <f>IF(Clean_Table[[#This Row],[Role]]="Attendee",1,0)</f>
        <v>1</v>
      </c>
      <c r="P39">
        <f>IF(Clean_Table[[#This Row],[Empty Cell Check]]="Missing",1,0)</f>
        <v>1</v>
      </c>
    </row>
    <row r="40" spans="1:16">
      <c r="A40" t="s">
        <v>94</v>
      </c>
      <c r="B40" t="s">
        <v>123</v>
      </c>
      <c r="C40" t="s">
        <v>78</v>
      </c>
      <c r="D40" t="s">
        <v>50</v>
      </c>
      <c r="E40" s="1" t="s">
        <v>815</v>
      </c>
      <c r="F40" t="s">
        <v>124</v>
      </c>
      <c r="G40" t="s">
        <v>28</v>
      </c>
      <c r="H40" t="s">
        <v>39</v>
      </c>
      <c r="I4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4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Alex Brownalex.brown798@example.comAustraliaWorkshop: Excel Mastery12:30 PM16AKosherAttendee</v>
      </c>
      <c r="K40" t="str">
        <f>IF(COUNTIF(Clean_Table[Temp ID],Clean_Table[[#This Row],[Temp ID]])&gt;1,"Duplicate","Unique")</f>
        <v>Unique</v>
      </c>
      <c r="L40">
        <f>IF(Clean_Table[[#This Row],[Role]]="VIP",1,0)</f>
        <v>0</v>
      </c>
      <c r="M40">
        <f>IF(Clean_Table[[#This Row],[Role]]="Speaker",1,0)</f>
        <v>0</v>
      </c>
      <c r="N40">
        <f>IF(Clean_Table[[#This Row],[Role]]="Sponsor",1,0)</f>
        <v>0</v>
      </c>
      <c r="O40">
        <f>IF(Clean_Table[[#This Row],[Role]]="Attendee",1,0)</f>
        <v>1</v>
      </c>
      <c r="P40">
        <f>IF(Clean_Table[[#This Row],[Empty Cell Check]]="Missing",1,0)</f>
        <v>0</v>
      </c>
    </row>
    <row r="41" spans="1:16">
      <c r="A41" t="s">
        <v>35</v>
      </c>
      <c r="B41" t="s">
        <v>125</v>
      </c>
      <c r="C41" t="s">
        <v>78</v>
      </c>
      <c r="D41" t="s">
        <v>71</v>
      </c>
      <c r="E41" s="1" t="s">
        <v>823</v>
      </c>
      <c r="F41" t="s">
        <v>124</v>
      </c>
      <c r="G41" t="s">
        <v>15</v>
      </c>
      <c r="H41" t="s">
        <v>24</v>
      </c>
      <c r="I4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4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Halltaylor.hall335@example.comAustraliaWebinar: AI Ethics05:30 AM16AVegetarianSponsor</v>
      </c>
      <c r="K41" t="str">
        <f>IF(COUNTIF(Clean_Table[Temp ID],Clean_Table[[#This Row],[Temp ID]])&gt;1,"Duplicate","Unique")</f>
        <v>Unique</v>
      </c>
      <c r="L41">
        <f>IF(Clean_Table[[#This Row],[Role]]="VIP",1,0)</f>
        <v>0</v>
      </c>
      <c r="M41">
        <f>IF(Clean_Table[[#This Row],[Role]]="Speaker",1,0)</f>
        <v>0</v>
      </c>
      <c r="N41">
        <f>IF(Clean_Table[[#This Row],[Role]]="Sponsor",1,0)</f>
        <v>1</v>
      </c>
      <c r="O41">
        <f>IF(Clean_Table[[#This Row],[Role]]="Attendee",1,0)</f>
        <v>0</v>
      </c>
      <c r="P41">
        <f>IF(Clean_Table[[#This Row],[Empty Cell Check]]="Missing",1,0)</f>
        <v>0</v>
      </c>
    </row>
    <row r="42" spans="1:16">
      <c r="A42" t="s">
        <v>81</v>
      </c>
      <c r="B42" t="s">
        <v>126</v>
      </c>
      <c r="C42" t="s">
        <v>37</v>
      </c>
      <c r="D42" t="s">
        <v>13</v>
      </c>
      <c r="E42" s="1" t="s">
        <v>836</v>
      </c>
      <c r="F42" t="s">
        <v>124</v>
      </c>
      <c r="G42" t="s">
        <v>91</v>
      </c>
      <c r="H42" t="s">
        <v>39</v>
      </c>
      <c r="I4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4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Hallcasey.hall336@example.comCanadaTraining: Dashboard Design03:00 PM16AHalalAttendee</v>
      </c>
      <c r="K42" t="str">
        <f>IF(COUNTIF(Clean_Table[Temp ID],Clean_Table[[#This Row],[Temp ID]])&gt;1,"Duplicate","Unique")</f>
        <v>Unique</v>
      </c>
      <c r="L42">
        <f>IF(Clean_Table[[#This Row],[Role]]="VIP",1,0)</f>
        <v>0</v>
      </c>
      <c r="M42">
        <f>IF(Clean_Table[[#This Row],[Role]]="Speaker",1,0)</f>
        <v>0</v>
      </c>
      <c r="N42">
        <f>IF(Clean_Table[[#This Row],[Role]]="Sponsor",1,0)</f>
        <v>0</v>
      </c>
      <c r="O42">
        <f>IF(Clean_Table[[#This Row],[Role]]="Attendee",1,0)</f>
        <v>1</v>
      </c>
      <c r="P42">
        <f>IF(Clean_Table[[#This Row],[Empty Cell Check]]="Missing",1,0)</f>
        <v>0</v>
      </c>
    </row>
    <row r="43" spans="1:16">
      <c r="A43" t="s">
        <v>127</v>
      </c>
      <c r="B43" t="s">
        <v>128</v>
      </c>
      <c r="C43" t="s">
        <v>810</v>
      </c>
      <c r="D43" t="s">
        <v>71</v>
      </c>
      <c r="E43" s="2" t="s">
        <v>845</v>
      </c>
      <c r="F43" t="s">
        <v>124</v>
      </c>
      <c r="G43" t="s">
        <v>52</v>
      </c>
      <c r="H43" t="s">
        <v>39</v>
      </c>
      <c r="I4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4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Lewiscasey.lewis191@example.comWebinar: AI Ethics02:30 AM16AVeganAttendee</v>
      </c>
      <c r="K43" t="str">
        <f>IF(COUNTIF(Clean_Table[Temp ID],Clean_Table[[#This Row],[Temp ID]])&gt;1,"Duplicate","Unique")</f>
        <v>Unique</v>
      </c>
      <c r="L43">
        <f>IF(Clean_Table[[#This Row],[Role]]="VIP",1,0)</f>
        <v>0</v>
      </c>
      <c r="M43">
        <f>IF(Clean_Table[[#This Row],[Role]]="Speaker",1,0)</f>
        <v>0</v>
      </c>
      <c r="N43">
        <f>IF(Clean_Table[[#This Row],[Role]]="Sponsor",1,0)</f>
        <v>0</v>
      </c>
      <c r="O43">
        <f>IF(Clean_Table[[#This Row],[Role]]="Attendee",1,0)</f>
        <v>1</v>
      </c>
      <c r="P43">
        <f>IF(Clean_Table[[#This Row],[Empty Cell Check]]="Missing",1,0)</f>
        <v>1</v>
      </c>
    </row>
    <row r="44" spans="1:16">
      <c r="A44" t="s">
        <v>108</v>
      </c>
      <c r="B44" t="s">
        <v>129</v>
      </c>
      <c r="C44" t="s">
        <v>96</v>
      </c>
      <c r="D44" t="s">
        <v>810</v>
      </c>
      <c r="E44" s="1" t="s">
        <v>825</v>
      </c>
      <c r="F44" t="s">
        <v>130</v>
      </c>
      <c r="G44" t="s">
        <v>28</v>
      </c>
      <c r="H44" t="s">
        <v>21</v>
      </c>
      <c r="I4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4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Wilsonjamie.wilson687@example.comUnited Kingdom10:00 AM16BKosherSpeaker</v>
      </c>
      <c r="K44" t="str">
        <f>IF(COUNTIF(Clean_Table[Temp ID],Clean_Table[[#This Row],[Temp ID]])&gt;1,"Duplicate","Unique")</f>
        <v>Unique</v>
      </c>
      <c r="L44">
        <f>IF(Clean_Table[[#This Row],[Role]]="VIP",1,0)</f>
        <v>0</v>
      </c>
      <c r="M44">
        <f>IF(Clean_Table[[#This Row],[Role]]="Speaker",1,0)</f>
        <v>1</v>
      </c>
      <c r="N44">
        <f>IF(Clean_Table[[#This Row],[Role]]="Sponsor",1,0)</f>
        <v>0</v>
      </c>
      <c r="O44">
        <f>IF(Clean_Table[[#This Row],[Role]]="Attendee",1,0)</f>
        <v>0</v>
      </c>
      <c r="P44">
        <f>IF(Clean_Table[[#This Row],[Empty Cell Check]]="Missing",1,0)</f>
        <v>1</v>
      </c>
    </row>
    <row r="45" spans="1:16">
      <c r="A45" t="s">
        <v>43</v>
      </c>
      <c r="B45" t="s">
        <v>131</v>
      </c>
      <c r="C45" t="s">
        <v>37</v>
      </c>
      <c r="D45" t="s">
        <v>79</v>
      </c>
      <c r="E45" s="2" t="s">
        <v>846</v>
      </c>
      <c r="F45" t="s">
        <v>130</v>
      </c>
      <c r="G45" t="s">
        <v>810</v>
      </c>
      <c r="H45" t="s">
        <v>39</v>
      </c>
      <c r="I4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4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Wilsonmorgan.wilson683@example.comCanadaPanel: Women in Tech07:00 PM16BAttendee</v>
      </c>
      <c r="K45" t="str">
        <f>IF(COUNTIF(Clean_Table[Temp ID],Clean_Table[[#This Row],[Temp ID]])&gt;1,"Duplicate","Unique")</f>
        <v>Unique</v>
      </c>
      <c r="L45">
        <f>IF(Clean_Table[[#This Row],[Role]]="VIP",1,0)</f>
        <v>0</v>
      </c>
      <c r="M45">
        <f>IF(Clean_Table[[#This Row],[Role]]="Speaker",1,0)</f>
        <v>0</v>
      </c>
      <c r="N45">
        <f>IF(Clean_Table[[#This Row],[Role]]="Sponsor",1,0)</f>
        <v>0</v>
      </c>
      <c r="O45">
        <f>IF(Clean_Table[[#This Row],[Role]]="Attendee",1,0)</f>
        <v>1</v>
      </c>
      <c r="P45">
        <f>IF(Clean_Table[[#This Row],[Empty Cell Check]]="Missing",1,0)</f>
        <v>1</v>
      </c>
    </row>
    <row r="46" spans="1:16">
      <c r="A46" t="s">
        <v>66</v>
      </c>
      <c r="B46" t="s">
        <v>132</v>
      </c>
      <c r="C46" t="s">
        <v>810</v>
      </c>
      <c r="D46" t="s">
        <v>810</v>
      </c>
      <c r="E46" s="2" t="s">
        <v>838</v>
      </c>
      <c r="F46" t="s">
        <v>130</v>
      </c>
      <c r="G46" t="s">
        <v>810</v>
      </c>
      <c r="H46" t="s">
        <v>39</v>
      </c>
      <c r="I4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4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Allencasey.allen200@example.com03:30 PM16BAttendee</v>
      </c>
      <c r="K46" t="str">
        <f>IF(COUNTIF(Clean_Table[Temp ID],Clean_Table[[#This Row],[Temp ID]])&gt;1,"Duplicate","Unique")</f>
        <v>Unique</v>
      </c>
      <c r="L46">
        <f>IF(Clean_Table[[#This Row],[Role]]="VIP",1,0)</f>
        <v>0</v>
      </c>
      <c r="M46">
        <f>IF(Clean_Table[[#This Row],[Role]]="Speaker",1,0)</f>
        <v>0</v>
      </c>
      <c r="N46">
        <f>IF(Clean_Table[[#This Row],[Role]]="Sponsor",1,0)</f>
        <v>0</v>
      </c>
      <c r="O46">
        <f>IF(Clean_Table[[#This Row],[Role]]="Attendee",1,0)</f>
        <v>1</v>
      </c>
      <c r="P46">
        <f>IF(Clean_Table[[#This Row],[Empty Cell Check]]="Missing",1,0)</f>
        <v>1</v>
      </c>
    </row>
    <row r="47" spans="1:16">
      <c r="A47" t="s">
        <v>133</v>
      </c>
      <c r="B47" t="s">
        <v>134</v>
      </c>
      <c r="C47" t="s">
        <v>96</v>
      </c>
      <c r="D47" t="s">
        <v>13</v>
      </c>
      <c r="E47" s="1" t="s">
        <v>845</v>
      </c>
      <c r="F47" t="s">
        <v>130</v>
      </c>
      <c r="G47" t="s">
        <v>31</v>
      </c>
      <c r="H47" t="s">
        <v>39</v>
      </c>
      <c r="I4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4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Walkerriley.walker901@example.comUnited KingdomTraining: Dashboard Design02:30 AM16BNoneAttendee</v>
      </c>
      <c r="K47" t="str">
        <f>IF(COUNTIF(Clean_Table[Temp ID],Clean_Table[[#This Row],[Temp ID]])&gt;1,"Duplicate","Unique")</f>
        <v>Unique</v>
      </c>
      <c r="L47">
        <f>IF(Clean_Table[[#This Row],[Role]]="VIP",1,0)</f>
        <v>0</v>
      </c>
      <c r="M47">
        <f>IF(Clean_Table[[#This Row],[Role]]="Speaker",1,0)</f>
        <v>0</v>
      </c>
      <c r="N47">
        <f>IF(Clean_Table[[#This Row],[Role]]="Sponsor",1,0)</f>
        <v>0</v>
      </c>
      <c r="O47">
        <f>IF(Clean_Table[[#This Row],[Role]]="Attendee",1,0)</f>
        <v>1</v>
      </c>
      <c r="P47">
        <f>IF(Clean_Table[[#This Row],[Empty Cell Check]]="Missing",1,0)</f>
        <v>0</v>
      </c>
    </row>
    <row r="48" spans="1:16">
      <c r="A48" t="s">
        <v>135</v>
      </c>
      <c r="B48" t="s">
        <v>136</v>
      </c>
      <c r="C48" t="s">
        <v>810</v>
      </c>
      <c r="D48" t="s">
        <v>71</v>
      </c>
      <c r="E48" s="2" t="s">
        <v>818</v>
      </c>
      <c r="F48" t="s">
        <v>137</v>
      </c>
      <c r="G48" t="s">
        <v>52</v>
      </c>
      <c r="H48" t="s">
        <v>39</v>
      </c>
      <c r="I4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4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Leemorgan.lee562@example.comWebinar: AI Ethics03:30 AM16CVeganAttendee</v>
      </c>
      <c r="K48" t="str">
        <f>IF(COUNTIF(Clean_Table[Temp ID],Clean_Table[[#This Row],[Temp ID]])&gt;1,"Duplicate","Unique")</f>
        <v>Unique</v>
      </c>
      <c r="L48">
        <f>IF(Clean_Table[[#This Row],[Role]]="VIP",1,0)</f>
        <v>0</v>
      </c>
      <c r="M48">
        <f>IF(Clean_Table[[#This Row],[Role]]="Speaker",1,0)</f>
        <v>0</v>
      </c>
      <c r="N48">
        <f>IF(Clean_Table[[#This Row],[Role]]="Sponsor",1,0)</f>
        <v>0</v>
      </c>
      <c r="O48">
        <f>IF(Clean_Table[[#This Row],[Role]]="Attendee",1,0)</f>
        <v>1</v>
      </c>
      <c r="P48">
        <f>IF(Clean_Table[[#This Row],[Empty Cell Check]]="Missing",1,0)</f>
        <v>1</v>
      </c>
    </row>
    <row r="49" spans="1:16">
      <c r="A49" t="s">
        <v>138</v>
      </c>
      <c r="B49" t="s">
        <v>139</v>
      </c>
      <c r="C49" t="s">
        <v>112</v>
      </c>
      <c r="D49" t="s">
        <v>50</v>
      </c>
      <c r="E49" s="2" t="s">
        <v>814</v>
      </c>
      <c r="F49" t="s">
        <v>137</v>
      </c>
      <c r="G49" t="s">
        <v>91</v>
      </c>
      <c r="H49" t="s">
        <v>24</v>
      </c>
      <c r="I4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4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Jesse Brownjesse.brown960@example.comNigeriaWorkshop: Excel Mastery11:00 PM16CHalalSponsor</v>
      </c>
      <c r="K49" t="str">
        <f>IF(COUNTIF(Clean_Table[Temp ID],Clean_Table[[#This Row],[Temp ID]])&gt;1,"Duplicate","Unique")</f>
        <v>Unique</v>
      </c>
      <c r="L49">
        <f>IF(Clean_Table[[#This Row],[Role]]="VIP",1,0)</f>
        <v>0</v>
      </c>
      <c r="M49">
        <f>IF(Clean_Table[[#This Row],[Role]]="Speaker",1,0)</f>
        <v>0</v>
      </c>
      <c r="N49">
        <f>IF(Clean_Table[[#This Row],[Role]]="Sponsor",1,0)</f>
        <v>1</v>
      </c>
      <c r="O49">
        <f>IF(Clean_Table[[#This Row],[Role]]="Attendee",1,0)</f>
        <v>0</v>
      </c>
      <c r="P49">
        <f>IF(Clean_Table[[#This Row],[Empty Cell Check]]="Missing",1,0)</f>
        <v>0</v>
      </c>
    </row>
    <row r="50" spans="1:16">
      <c r="A50" t="s">
        <v>140</v>
      </c>
      <c r="B50" t="s">
        <v>141</v>
      </c>
      <c r="C50" t="s">
        <v>78</v>
      </c>
      <c r="D50" t="s">
        <v>79</v>
      </c>
      <c r="E50" s="2" t="s">
        <v>825</v>
      </c>
      <c r="F50" t="s">
        <v>137</v>
      </c>
      <c r="G50" t="s">
        <v>810</v>
      </c>
      <c r="H50" t="s">
        <v>24</v>
      </c>
      <c r="I5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5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Jordan Allenjordan.allen748@example.comAustraliaPanel: Women in Tech10:00 AM16CSponsor</v>
      </c>
      <c r="K50" t="str">
        <f>IF(COUNTIF(Clean_Table[Temp ID],Clean_Table[[#This Row],[Temp ID]])&gt;1,"Duplicate","Unique")</f>
        <v>Unique</v>
      </c>
      <c r="L50">
        <f>IF(Clean_Table[[#This Row],[Role]]="VIP",1,0)</f>
        <v>0</v>
      </c>
      <c r="M50">
        <f>IF(Clean_Table[[#This Row],[Role]]="Speaker",1,0)</f>
        <v>0</v>
      </c>
      <c r="N50">
        <f>IF(Clean_Table[[#This Row],[Role]]="Sponsor",1,0)</f>
        <v>1</v>
      </c>
      <c r="O50">
        <f>IF(Clean_Table[[#This Row],[Role]]="Attendee",1,0)</f>
        <v>0</v>
      </c>
      <c r="P50">
        <f>IF(Clean_Table[[#This Row],[Empty Cell Check]]="Missing",1,0)</f>
        <v>1</v>
      </c>
    </row>
    <row r="51" spans="1:16">
      <c r="A51" t="s">
        <v>40</v>
      </c>
      <c r="B51" t="s">
        <v>142</v>
      </c>
      <c r="C51" t="s">
        <v>68</v>
      </c>
      <c r="D51" t="s">
        <v>810</v>
      </c>
      <c r="E51" s="2" t="s">
        <v>839</v>
      </c>
      <c r="F51" t="s">
        <v>143</v>
      </c>
      <c r="G51" t="s">
        <v>28</v>
      </c>
      <c r="H51" t="s">
        <v>24</v>
      </c>
      <c r="I5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5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Drew Allendrew.allen522@example.comIndia09:00 AM16DKosherSponsor</v>
      </c>
      <c r="K51" t="str">
        <f>IF(COUNTIF(Clean_Table[Temp ID],Clean_Table[[#This Row],[Temp ID]])&gt;1,"Duplicate","Unique")</f>
        <v>Unique</v>
      </c>
      <c r="L51">
        <f>IF(Clean_Table[[#This Row],[Role]]="VIP",1,0)</f>
        <v>0</v>
      </c>
      <c r="M51">
        <f>IF(Clean_Table[[#This Row],[Role]]="Speaker",1,0)</f>
        <v>0</v>
      </c>
      <c r="N51">
        <f>IF(Clean_Table[[#This Row],[Role]]="Sponsor",1,0)</f>
        <v>1</v>
      </c>
      <c r="O51">
        <f>IF(Clean_Table[[#This Row],[Role]]="Attendee",1,0)</f>
        <v>0</v>
      </c>
      <c r="P51">
        <f>IF(Clean_Table[[#This Row],[Empty Cell Check]]="Missing",1,0)</f>
        <v>1</v>
      </c>
    </row>
    <row r="52" spans="1:16">
      <c r="A52" t="s">
        <v>46</v>
      </c>
      <c r="B52" t="s">
        <v>144</v>
      </c>
      <c r="C52" t="s">
        <v>68</v>
      </c>
      <c r="D52" t="s">
        <v>71</v>
      </c>
      <c r="E52" s="2" t="s">
        <v>830</v>
      </c>
      <c r="F52" t="s">
        <v>145</v>
      </c>
      <c r="G52" t="s">
        <v>15</v>
      </c>
      <c r="H52" t="s">
        <v>39</v>
      </c>
      <c r="I5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5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Alex Clarkalex.clark809@example.comIndiaWebinar: AI Ethics12:00 AM17AVegetarianAttendee</v>
      </c>
      <c r="K52" t="str">
        <f>IF(COUNTIF(Clean_Table[Temp ID],Clean_Table[[#This Row],[Temp ID]])&gt;1,"Duplicate","Unique")</f>
        <v>Unique</v>
      </c>
      <c r="L52">
        <f>IF(Clean_Table[[#This Row],[Role]]="VIP",1,0)</f>
        <v>0</v>
      </c>
      <c r="M52">
        <f>IF(Clean_Table[[#This Row],[Role]]="Speaker",1,0)</f>
        <v>0</v>
      </c>
      <c r="N52">
        <f>IF(Clean_Table[[#This Row],[Role]]="Sponsor",1,0)</f>
        <v>0</v>
      </c>
      <c r="O52">
        <f>IF(Clean_Table[[#This Row],[Role]]="Attendee",1,0)</f>
        <v>1</v>
      </c>
      <c r="P52">
        <f>IF(Clean_Table[[#This Row],[Empty Cell Check]]="Missing",1,0)</f>
        <v>0</v>
      </c>
    </row>
    <row r="53" spans="1:16">
      <c r="A53" t="s">
        <v>99</v>
      </c>
      <c r="B53" t="s">
        <v>146</v>
      </c>
      <c r="C53" t="s">
        <v>101</v>
      </c>
      <c r="D53" t="s">
        <v>79</v>
      </c>
      <c r="E53" s="1" t="s">
        <v>835</v>
      </c>
      <c r="F53" t="s">
        <v>145</v>
      </c>
      <c r="G53" t="s">
        <v>52</v>
      </c>
      <c r="H53" t="s">
        <v>39</v>
      </c>
      <c r="I5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5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Drew Lewisdrew.lewis696@example.comJapanPanel: Women in Tech02:30 PM17AVeganAttendee</v>
      </c>
      <c r="K53" t="str">
        <f>IF(COUNTIF(Clean_Table[Temp ID],Clean_Table[[#This Row],[Temp ID]])&gt;1,"Duplicate","Unique")</f>
        <v>Unique</v>
      </c>
      <c r="L53">
        <f>IF(Clean_Table[[#This Row],[Role]]="VIP",1,0)</f>
        <v>0</v>
      </c>
      <c r="M53">
        <f>IF(Clean_Table[[#This Row],[Role]]="Speaker",1,0)</f>
        <v>0</v>
      </c>
      <c r="N53">
        <f>IF(Clean_Table[[#This Row],[Role]]="Sponsor",1,0)</f>
        <v>0</v>
      </c>
      <c r="O53">
        <f>IF(Clean_Table[[#This Row],[Role]]="Attendee",1,0)</f>
        <v>1</v>
      </c>
      <c r="P53">
        <f>IF(Clean_Table[[#This Row],[Empty Cell Check]]="Missing",1,0)</f>
        <v>0</v>
      </c>
    </row>
    <row r="54" spans="1:16">
      <c r="A54" t="s">
        <v>147</v>
      </c>
      <c r="B54" t="s">
        <v>148</v>
      </c>
      <c r="C54" t="s">
        <v>810</v>
      </c>
      <c r="D54" t="s">
        <v>810</v>
      </c>
      <c r="E54" s="2" t="s">
        <v>826</v>
      </c>
      <c r="F54" t="s">
        <v>149</v>
      </c>
      <c r="G54" t="s">
        <v>15</v>
      </c>
      <c r="H54" t="s">
        <v>24</v>
      </c>
      <c r="I5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5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Browntaylor.brown842@example.com02:00 PM17BVegetarianSponsor</v>
      </c>
      <c r="K54" t="str">
        <f>IF(COUNTIF(Clean_Table[Temp ID],Clean_Table[[#This Row],[Temp ID]])&gt;1,"Duplicate","Unique")</f>
        <v>Unique</v>
      </c>
      <c r="L54">
        <f>IF(Clean_Table[[#This Row],[Role]]="VIP",1,0)</f>
        <v>0</v>
      </c>
      <c r="M54">
        <f>IF(Clean_Table[[#This Row],[Role]]="Speaker",1,0)</f>
        <v>0</v>
      </c>
      <c r="N54">
        <f>IF(Clean_Table[[#This Row],[Role]]="Sponsor",1,0)</f>
        <v>1</v>
      </c>
      <c r="O54">
        <f>IF(Clean_Table[[#This Row],[Role]]="Attendee",1,0)</f>
        <v>0</v>
      </c>
      <c r="P54">
        <f>IF(Clean_Table[[#This Row],[Empty Cell Check]]="Missing",1,0)</f>
        <v>1</v>
      </c>
    </row>
    <row r="55" spans="1:16">
      <c r="A55" t="s">
        <v>69</v>
      </c>
      <c r="B55" t="s">
        <v>150</v>
      </c>
      <c r="C55" t="s">
        <v>78</v>
      </c>
      <c r="D55" t="s">
        <v>810</v>
      </c>
      <c r="E55" s="1" t="s">
        <v>836</v>
      </c>
      <c r="F55" t="s">
        <v>149</v>
      </c>
      <c r="G55" t="s">
        <v>52</v>
      </c>
      <c r="H55" t="s">
        <v>24</v>
      </c>
      <c r="I5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5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Clarkmorgan.clark217@example.comAustralia03:00 PM17BVeganSponsor</v>
      </c>
      <c r="K55" t="str">
        <f>IF(COUNTIF(Clean_Table[Temp ID],Clean_Table[[#This Row],[Temp ID]])&gt;1,"Duplicate","Unique")</f>
        <v>Unique</v>
      </c>
      <c r="L55">
        <f>IF(Clean_Table[[#This Row],[Role]]="VIP",1,0)</f>
        <v>0</v>
      </c>
      <c r="M55">
        <f>IF(Clean_Table[[#This Row],[Role]]="Speaker",1,0)</f>
        <v>0</v>
      </c>
      <c r="N55">
        <f>IF(Clean_Table[[#This Row],[Role]]="Sponsor",1,0)</f>
        <v>1</v>
      </c>
      <c r="O55">
        <f>IF(Clean_Table[[#This Row],[Role]]="Attendee",1,0)</f>
        <v>0</v>
      </c>
      <c r="P55">
        <f>IF(Clean_Table[[#This Row],[Empty Cell Check]]="Missing",1,0)</f>
        <v>1</v>
      </c>
    </row>
    <row r="56" spans="1:16">
      <c r="A56" t="s">
        <v>151</v>
      </c>
      <c r="B56" t="s">
        <v>152</v>
      </c>
      <c r="C56" t="s">
        <v>68</v>
      </c>
      <c r="D56" t="s">
        <v>810</v>
      </c>
      <c r="E56" s="2" t="s">
        <v>833</v>
      </c>
      <c r="F56" t="s">
        <v>153</v>
      </c>
      <c r="G56" t="s">
        <v>15</v>
      </c>
      <c r="H56" t="s">
        <v>24</v>
      </c>
      <c r="I5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5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Clarkriley.clark42@example.comIndia07:00 AM17CVegetarianSponsor</v>
      </c>
      <c r="K56" t="str">
        <f>IF(COUNTIF(Clean_Table[Temp ID],Clean_Table[[#This Row],[Temp ID]])&gt;1,"Duplicate","Unique")</f>
        <v>Unique</v>
      </c>
      <c r="L56">
        <f>IF(Clean_Table[[#This Row],[Role]]="VIP",1,0)</f>
        <v>0</v>
      </c>
      <c r="M56">
        <f>IF(Clean_Table[[#This Row],[Role]]="Speaker",1,0)</f>
        <v>0</v>
      </c>
      <c r="N56">
        <f>IF(Clean_Table[[#This Row],[Role]]="Sponsor",1,0)</f>
        <v>1</v>
      </c>
      <c r="O56">
        <f>IF(Clean_Table[[#This Row],[Role]]="Attendee",1,0)</f>
        <v>0</v>
      </c>
      <c r="P56">
        <f>IF(Clean_Table[[#This Row],[Empty Cell Check]]="Missing",1,0)</f>
        <v>1</v>
      </c>
    </row>
    <row r="57" spans="1:16">
      <c r="A57" t="s">
        <v>147</v>
      </c>
      <c r="B57" t="s">
        <v>154</v>
      </c>
      <c r="C57" t="s">
        <v>37</v>
      </c>
      <c r="D57" t="s">
        <v>71</v>
      </c>
      <c r="E57" s="1" t="s">
        <v>822</v>
      </c>
      <c r="F57" t="s">
        <v>153</v>
      </c>
      <c r="G57" t="s">
        <v>91</v>
      </c>
      <c r="H57" t="s">
        <v>39</v>
      </c>
      <c r="I5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5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Browntaylor.brown941@example.comCanadaWebinar: AI Ethics04:00 AM17CHalalAttendee</v>
      </c>
      <c r="K57" t="str">
        <f>IF(COUNTIF(Clean_Table[Temp ID],Clean_Table[[#This Row],[Temp ID]])&gt;1,"Duplicate","Unique")</f>
        <v>Unique</v>
      </c>
      <c r="L57">
        <f>IF(Clean_Table[[#This Row],[Role]]="VIP",1,0)</f>
        <v>0</v>
      </c>
      <c r="M57">
        <f>IF(Clean_Table[[#This Row],[Role]]="Speaker",1,0)</f>
        <v>0</v>
      </c>
      <c r="N57">
        <f>IF(Clean_Table[[#This Row],[Role]]="Sponsor",1,0)</f>
        <v>0</v>
      </c>
      <c r="O57">
        <f>IF(Clean_Table[[#This Row],[Role]]="Attendee",1,0)</f>
        <v>1</v>
      </c>
      <c r="P57">
        <f>IF(Clean_Table[[#This Row],[Empty Cell Check]]="Missing",1,0)</f>
        <v>0</v>
      </c>
    </row>
    <row r="58" spans="1:16">
      <c r="A58" t="s">
        <v>155</v>
      </c>
      <c r="B58" t="s">
        <v>156</v>
      </c>
      <c r="C58" t="s">
        <v>96</v>
      </c>
      <c r="D58" t="s">
        <v>79</v>
      </c>
      <c r="E58" s="2" t="s">
        <v>824</v>
      </c>
      <c r="F58" t="s">
        <v>153</v>
      </c>
      <c r="G58" t="s">
        <v>810</v>
      </c>
      <c r="H58" t="s">
        <v>39</v>
      </c>
      <c r="I5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5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Wilsoncasey.wilson458@example.comUnited KingdomPanel: Women in Tech06:00 PM17CAttendee</v>
      </c>
      <c r="K58" t="str">
        <f>IF(COUNTIF(Clean_Table[Temp ID],Clean_Table[[#This Row],[Temp ID]])&gt;1,"Duplicate","Unique")</f>
        <v>Unique</v>
      </c>
      <c r="L58">
        <f>IF(Clean_Table[[#This Row],[Role]]="VIP",1,0)</f>
        <v>0</v>
      </c>
      <c r="M58">
        <f>IF(Clean_Table[[#This Row],[Role]]="Speaker",1,0)</f>
        <v>0</v>
      </c>
      <c r="N58">
        <f>IF(Clean_Table[[#This Row],[Role]]="Sponsor",1,0)</f>
        <v>0</v>
      </c>
      <c r="O58">
        <f>IF(Clean_Table[[#This Row],[Role]]="Attendee",1,0)</f>
        <v>1</v>
      </c>
      <c r="P58">
        <f>IF(Clean_Table[[#This Row],[Empty Cell Check]]="Missing",1,0)</f>
        <v>1</v>
      </c>
    </row>
    <row r="59" spans="1:16">
      <c r="A59" t="s">
        <v>105</v>
      </c>
      <c r="B59" t="s">
        <v>157</v>
      </c>
      <c r="C59" t="s">
        <v>37</v>
      </c>
      <c r="D59" t="s">
        <v>45</v>
      </c>
      <c r="E59" s="1" t="s">
        <v>823</v>
      </c>
      <c r="F59" t="s">
        <v>158</v>
      </c>
      <c r="G59" t="s">
        <v>810</v>
      </c>
      <c r="H59" t="s">
        <v>24</v>
      </c>
      <c r="I5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5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Jesse Allenjesse.allen777@example.comCanadaKeynote: Future of Data05:30 AM17DSponsor</v>
      </c>
      <c r="K59" t="str">
        <f>IF(COUNTIF(Clean_Table[Temp ID],Clean_Table[[#This Row],[Temp ID]])&gt;1,"Duplicate","Unique")</f>
        <v>Unique</v>
      </c>
      <c r="L59">
        <f>IF(Clean_Table[[#This Row],[Role]]="VIP",1,0)</f>
        <v>0</v>
      </c>
      <c r="M59">
        <f>IF(Clean_Table[[#This Row],[Role]]="Speaker",1,0)</f>
        <v>0</v>
      </c>
      <c r="N59">
        <f>IF(Clean_Table[[#This Row],[Role]]="Sponsor",1,0)</f>
        <v>1</v>
      </c>
      <c r="O59">
        <f>IF(Clean_Table[[#This Row],[Role]]="Attendee",1,0)</f>
        <v>0</v>
      </c>
      <c r="P59">
        <f>IF(Clean_Table[[#This Row],[Empty Cell Check]]="Missing",1,0)</f>
        <v>1</v>
      </c>
    </row>
    <row r="60" spans="1:16">
      <c r="A60" t="s">
        <v>159</v>
      </c>
      <c r="B60" t="s">
        <v>160</v>
      </c>
      <c r="C60" t="s">
        <v>27</v>
      </c>
      <c r="D60" t="s">
        <v>50</v>
      </c>
      <c r="E60" s="1" t="s">
        <v>844</v>
      </c>
      <c r="F60" t="s">
        <v>161</v>
      </c>
      <c r="G60" t="s">
        <v>810</v>
      </c>
      <c r="H60" t="s">
        <v>24</v>
      </c>
      <c r="I6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6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Hallriley.hall367@example.comFranceWorkshop: Excel Mastery02:00 AM18ASponsor</v>
      </c>
      <c r="K60" t="str">
        <f>IF(COUNTIF(Clean_Table[Temp ID],Clean_Table[[#This Row],[Temp ID]])&gt;1,"Duplicate","Unique")</f>
        <v>Unique</v>
      </c>
      <c r="L60">
        <f>IF(Clean_Table[[#This Row],[Role]]="VIP",1,0)</f>
        <v>0</v>
      </c>
      <c r="M60">
        <f>IF(Clean_Table[[#This Row],[Role]]="Speaker",1,0)</f>
        <v>0</v>
      </c>
      <c r="N60">
        <f>IF(Clean_Table[[#This Row],[Role]]="Sponsor",1,0)</f>
        <v>1</v>
      </c>
      <c r="O60">
        <f>IF(Clean_Table[[#This Row],[Role]]="Attendee",1,0)</f>
        <v>0</v>
      </c>
      <c r="P60">
        <f>IF(Clean_Table[[#This Row],[Empty Cell Check]]="Missing",1,0)</f>
        <v>1</v>
      </c>
    </row>
    <row r="61" spans="1:16">
      <c r="A61" t="s">
        <v>162</v>
      </c>
      <c r="B61" t="s">
        <v>163</v>
      </c>
      <c r="C61" t="s">
        <v>37</v>
      </c>
      <c r="D61" t="s">
        <v>810</v>
      </c>
      <c r="E61" s="2" t="s">
        <v>847</v>
      </c>
      <c r="F61" t="s">
        <v>161</v>
      </c>
      <c r="G61" t="s">
        <v>810</v>
      </c>
      <c r="H61" t="s">
        <v>39</v>
      </c>
      <c r="I6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6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Lewistaylor.lewis671@example.comCanada07:30 PM18AAttendee</v>
      </c>
      <c r="K61" t="str">
        <f>IF(COUNTIF(Clean_Table[Temp ID],Clean_Table[[#This Row],[Temp ID]])&gt;1,"Duplicate","Unique")</f>
        <v>Unique</v>
      </c>
      <c r="L61">
        <f>IF(Clean_Table[[#This Row],[Role]]="VIP",1,0)</f>
        <v>0</v>
      </c>
      <c r="M61">
        <f>IF(Clean_Table[[#This Row],[Role]]="Speaker",1,0)</f>
        <v>0</v>
      </c>
      <c r="N61">
        <f>IF(Clean_Table[[#This Row],[Role]]="Sponsor",1,0)</f>
        <v>0</v>
      </c>
      <c r="O61">
        <f>IF(Clean_Table[[#This Row],[Role]]="Attendee",1,0)</f>
        <v>1</v>
      </c>
      <c r="P61">
        <f>IF(Clean_Table[[#This Row],[Empty Cell Check]]="Missing",1,0)</f>
        <v>1</v>
      </c>
    </row>
    <row r="62" spans="1:16">
      <c r="A62" t="s">
        <v>164</v>
      </c>
      <c r="B62" t="s">
        <v>165</v>
      </c>
      <c r="C62" t="s">
        <v>34</v>
      </c>
      <c r="D62" t="s">
        <v>13</v>
      </c>
      <c r="E62" s="1" t="s">
        <v>822</v>
      </c>
      <c r="F62" t="s">
        <v>166</v>
      </c>
      <c r="G62" t="s">
        <v>15</v>
      </c>
      <c r="H62" t="s">
        <v>24</v>
      </c>
      <c r="I6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6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Alex Hallalex.hall904@example.comGermanyTraining: Dashboard Design04:00 AM18BVegetarianSponsor</v>
      </c>
      <c r="K62" t="str">
        <f>IF(COUNTIF(Clean_Table[Temp ID],Clean_Table[[#This Row],[Temp ID]])&gt;1,"Duplicate","Unique")</f>
        <v>Unique</v>
      </c>
      <c r="L62">
        <f>IF(Clean_Table[[#This Row],[Role]]="VIP",1,0)</f>
        <v>0</v>
      </c>
      <c r="M62">
        <f>IF(Clean_Table[[#This Row],[Role]]="Speaker",1,0)</f>
        <v>0</v>
      </c>
      <c r="N62">
        <f>IF(Clean_Table[[#This Row],[Role]]="Sponsor",1,0)</f>
        <v>1</v>
      </c>
      <c r="O62">
        <f>IF(Clean_Table[[#This Row],[Role]]="Attendee",1,0)</f>
        <v>0</v>
      </c>
      <c r="P62">
        <f>IF(Clean_Table[[#This Row],[Empty Cell Check]]="Missing",1,0)</f>
        <v>0</v>
      </c>
    </row>
    <row r="63" spans="1:16">
      <c r="A63" t="s">
        <v>162</v>
      </c>
      <c r="B63" t="s">
        <v>167</v>
      </c>
      <c r="C63" t="s">
        <v>34</v>
      </c>
      <c r="D63" t="s">
        <v>810</v>
      </c>
      <c r="E63" s="2" t="s">
        <v>816</v>
      </c>
      <c r="F63" t="s">
        <v>166</v>
      </c>
      <c r="G63" t="s">
        <v>810</v>
      </c>
      <c r="H63" t="s">
        <v>39</v>
      </c>
      <c r="I6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6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Lewistaylor.lewis26@example.comGermany01:00 PM18BAttendee</v>
      </c>
      <c r="K63" t="str">
        <f>IF(COUNTIF(Clean_Table[Temp ID],Clean_Table[[#This Row],[Temp ID]])&gt;1,"Duplicate","Unique")</f>
        <v>Unique</v>
      </c>
      <c r="L63">
        <f>IF(Clean_Table[[#This Row],[Role]]="VIP",1,0)</f>
        <v>0</v>
      </c>
      <c r="M63">
        <f>IF(Clean_Table[[#This Row],[Role]]="Speaker",1,0)</f>
        <v>0</v>
      </c>
      <c r="N63">
        <f>IF(Clean_Table[[#This Row],[Role]]="Sponsor",1,0)</f>
        <v>0</v>
      </c>
      <c r="O63">
        <f>IF(Clean_Table[[#This Row],[Role]]="Attendee",1,0)</f>
        <v>1</v>
      </c>
      <c r="P63">
        <f>IF(Clean_Table[[#This Row],[Empty Cell Check]]="Missing",1,0)</f>
        <v>1</v>
      </c>
    </row>
    <row r="64" spans="1:16">
      <c r="A64" t="s">
        <v>168</v>
      </c>
      <c r="B64" t="s">
        <v>169</v>
      </c>
      <c r="C64" t="s">
        <v>96</v>
      </c>
      <c r="D64" t="s">
        <v>810</v>
      </c>
      <c r="E64" s="1" t="s">
        <v>818</v>
      </c>
      <c r="F64" t="s">
        <v>166</v>
      </c>
      <c r="G64" t="s">
        <v>810</v>
      </c>
      <c r="H64" t="s">
        <v>24</v>
      </c>
      <c r="I6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6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Chris Johnsonchris.johnson587@example.comUnited Kingdom03:30 AM18BSponsor</v>
      </c>
      <c r="K64" t="str">
        <f>IF(COUNTIF(Clean_Table[Temp ID],Clean_Table[[#This Row],[Temp ID]])&gt;1,"Duplicate","Unique")</f>
        <v>Unique</v>
      </c>
      <c r="L64">
        <f>IF(Clean_Table[[#This Row],[Role]]="VIP",1,0)</f>
        <v>0</v>
      </c>
      <c r="M64">
        <f>IF(Clean_Table[[#This Row],[Role]]="Speaker",1,0)</f>
        <v>0</v>
      </c>
      <c r="N64">
        <f>IF(Clean_Table[[#This Row],[Role]]="Sponsor",1,0)</f>
        <v>1</v>
      </c>
      <c r="O64">
        <f>IF(Clean_Table[[#This Row],[Role]]="Attendee",1,0)</f>
        <v>0</v>
      </c>
      <c r="P64">
        <f>IF(Clean_Table[[#This Row],[Empty Cell Check]]="Missing",1,0)</f>
        <v>1</v>
      </c>
    </row>
    <row r="65" spans="1:16">
      <c r="A65" t="s">
        <v>170</v>
      </c>
      <c r="B65" t="s">
        <v>171</v>
      </c>
      <c r="C65" t="s">
        <v>68</v>
      </c>
      <c r="D65" t="s">
        <v>71</v>
      </c>
      <c r="E65" s="1" t="s">
        <v>848</v>
      </c>
      <c r="F65" t="s">
        <v>172</v>
      </c>
      <c r="G65" t="s">
        <v>91</v>
      </c>
      <c r="H65" t="s">
        <v>39</v>
      </c>
      <c r="I6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6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Jordan Halljordan.hall927@example.comIndiaWebinar: AI Ethics11:30 PM18CHalalAttendee</v>
      </c>
      <c r="K65" t="str">
        <f>IF(COUNTIF(Clean_Table[Temp ID],Clean_Table[[#This Row],[Temp ID]])&gt;1,"Duplicate","Unique")</f>
        <v>Unique</v>
      </c>
      <c r="L65">
        <f>IF(Clean_Table[[#This Row],[Role]]="VIP",1,0)</f>
        <v>0</v>
      </c>
      <c r="M65">
        <f>IF(Clean_Table[[#This Row],[Role]]="Speaker",1,0)</f>
        <v>0</v>
      </c>
      <c r="N65">
        <f>IF(Clean_Table[[#This Row],[Role]]="Sponsor",1,0)</f>
        <v>0</v>
      </c>
      <c r="O65">
        <f>IF(Clean_Table[[#This Row],[Role]]="Attendee",1,0)</f>
        <v>1</v>
      </c>
      <c r="P65">
        <f>IF(Clean_Table[[#This Row],[Empty Cell Check]]="Missing",1,0)</f>
        <v>0</v>
      </c>
    </row>
    <row r="66" spans="1:16">
      <c r="A66" t="s">
        <v>173</v>
      </c>
      <c r="B66" t="s">
        <v>174</v>
      </c>
      <c r="C66" t="s">
        <v>78</v>
      </c>
      <c r="D66" t="s">
        <v>810</v>
      </c>
      <c r="E66" s="1" t="s">
        <v>849</v>
      </c>
      <c r="F66" t="s">
        <v>172</v>
      </c>
      <c r="G66" t="s">
        <v>91</v>
      </c>
      <c r="H66" t="s">
        <v>39</v>
      </c>
      <c r="I6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6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Chris Allenchris.allen232@example.comAustralia10:30 PM18CHalalAttendee</v>
      </c>
      <c r="K66" t="str">
        <f>IF(COUNTIF(Clean_Table[Temp ID],Clean_Table[[#This Row],[Temp ID]])&gt;1,"Duplicate","Unique")</f>
        <v>Unique</v>
      </c>
      <c r="L66">
        <f>IF(Clean_Table[[#This Row],[Role]]="VIP",1,0)</f>
        <v>0</v>
      </c>
      <c r="M66">
        <f>IF(Clean_Table[[#This Row],[Role]]="Speaker",1,0)</f>
        <v>0</v>
      </c>
      <c r="N66">
        <f>IF(Clean_Table[[#This Row],[Role]]="Sponsor",1,0)</f>
        <v>0</v>
      </c>
      <c r="O66">
        <f>IF(Clean_Table[[#This Row],[Role]]="Attendee",1,0)</f>
        <v>1</v>
      </c>
      <c r="P66">
        <f>IF(Clean_Table[[#This Row],[Empty Cell Check]]="Missing",1,0)</f>
        <v>1</v>
      </c>
    </row>
    <row r="67" spans="1:16">
      <c r="A67" t="s">
        <v>105</v>
      </c>
      <c r="B67" t="s">
        <v>175</v>
      </c>
      <c r="C67" t="s">
        <v>55</v>
      </c>
      <c r="D67" t="s">
        <v>71</v>
      </c>
      <c r="E67" s="2" t="s">
        <v>816</v>
      </c>
      <c r="F67" t="s">
        <v>176</v>
      </c>
      <c r="G67" t="s">
        <v>91</v>
      </c>
      <c r="H67" t="s">
        <v>24</v>
      </c>
      <c r="I6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6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Jesse Allenjesse.allen904@example.comBrazilWebinar: AI Ethics01:00 PM18DHalalSponsor</v>
      </c>
      <c r="K67" t="str">
        <f>IF(COUNTIF(Clean_Table[Temp ID],Clean_Table[[#This Row],[Temp ID]])&gt;1,"Duplicate","Unique")</f>
        <v>Unique</v>
      </c>
      <c r="L67">
        <f>IF(Clean_Table[[#This Row],[Role]]="VIP",1,0)</f>
        <v>0</v>
      </c>
      <c r="M67">
        <f>IF(Clean_Table[[#This Row],[Role]]="Speaker",1,0)</f>
        <v>0</v>
      </c>
      <c r="N67">
        <f>IF(Clean_Table[[#This Row],[Role]]="Sponsor",1,0)</f>
        <v>1</v>
      </c>
      <c r="O67">
        <f>IF(Clean_Table[[#This Row],[Role]]="Attendee",1,0)</f>
        <v>0</v>
      </c>
      <c r="P67">
        <f>IF(Clean_Table[[#This Row],[Empty Cell Check]]="Missing",1,0)</f>
        <v>0</v>
      </c>
    </row>
    <row r="68" spans="1:16">
      <c r="A68" t="s">
        <v>177</v>
      </c>
      <c r="B68" t="s">
        <v>178</v>
      </c>
      <c r="C68" t="s">
        <v>37</v>
      </c>
      <c r="D68" t="s">
        <v>810</v>
      </c>
      <c r="E68" s="1" t="s">
        <v>840</v>
      </c>
      <c r="F68" t="s">
        <v>176</v>
      </c>
      <c r="G68" t="s">
        <v>810</v>
      </c>
      <c r="H68" t="s">
        <v>39</v>
      </c>
      <c r="I6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6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Brownmorgan.brown473@example.comCanada08:30 AM18DAttendee</v>
      </c>
      <c r="K68" t="str">
        <f>IF(COUNTIF(Clean_Table[Temp ID],Clean_Table[[#This Row],[Temp ID]])&gt;1,"Duplicate","Unique")</f>
        <v>Unique</v>
      </c>
      <c r="L68">
        <f>IF(Clean_Table[[#This Row],[Role]]="VIP",1,0)</f>
        <v>0</v>
      </c>
      <c r="M68">
        <f>IF(Clean_Table[[#This Row],[Role]]="Speaker",1,0)</f>
        <v>0</v>
      </c>
      <c r="N68">
        <f>IF(Clean_Table[[#This Row],[Role]]="Sponsor",1,0)</f>
        <v>0</v>
      </c>
      <c r="O68">
        <f>IF(Clean_Table[[#This Row],[Role]]="Attendee",1,0)</f>
        <v>1</v>
      </c>
      <c r="P68">
        <f>IF(Clean_Table[[#This Row],[Empty Cell Check]]="Missing",1,0)</f>
        <v>1</v>
      </c>
    </row>
    <row r="69" spans="1:16">
      <c r="A69" t="s">
        <v>105</v>
      </c>
      <c r="B69" t="s">
        <v>179</v>
      </c>
      <c r="C69" t="s">
        <v>12</v>
      </c>
      <c r="D69" t="s">
        <v>50</v>
      </c>
      <c r="E69" s="1" t="s">
        <v>825</v>
      </c>
      <c r="F69" t="s">
        <v>176</v>
      </c>
      <c r="G69" t="s">
        <v>810</v>
      </c>
      <c r="H69" t="s">
        <v>39</v>
      </c>
      <c r="I6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6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Jesse Allenjesse.allen87@example.comUnited StatesWorkshop: Excel Mastery10:00 AM18DAttendee</v>
      </c>
      <c r="K69" t="str">
        <f>IF(COUNTIF(Clean_Table[Temp ID],Clean_Table[[#This Row],[Temp ID]])&gt;1,"Duplicate","Unique")</f>
        <v>Unique</v>
      </c>
      <c r="L69">
        <f>IF(Clean_Table[[#This Row],[Role]]="VIP",1,0)</f>
        <v>0</v>
      </c>
      <c r="M69">
        <f>IF(Clean_Table[[#This Row],[Role]]="Speaker",1,0)</f>
        <v>0</v>
      </c>
      <c r="N69">
        <f>IF(Clean_Table[[#This Row],[Role]]="Sponsor",1,0)</f>
        <v>0</v>
      </c>
      <c r="O69">
        <f>IF(Clean_Table[[#This Row],[Role]]="Attendee",1,0)</f>
        <v>1</v>
      </c>
      <c r="P69">
        <f>IF(Clean_Table[[#This Row],[Empty Cell Check]]="Missing",1,0)</f>
        <v>1</v>
      </c>
    </row>
    <row r="70" spans="1:16">
      <c r="A70" t="s">
        <v>180</v>
      </c>
      <c r="B70" t="s">
        <v>181</v>
      </c>
      <c r="C70" t="s">
        <v>12</v>
      </c>
      <c r="D70" t="s">
        <v>810</v>
      </c>
      <c r="E70" s="2" t="s">
        <v>820</v>
      </c>
      <c r="F70" t="s">
        <v>182</v>
      </c>
      <c r="G70" t="s">
        <v>91</v>
      </c>
      <c r="H70" t="s">
        <v>24</v>
      </c>
      <c r="I7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7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Allentaylor.allen873@example.comUnited States08:00 PM19AHalalSponsor</v>
      </c>
      <c r="K70" t="str">
        <f>IF(COUNTIF(Clean_Table[Temp ID],Clean_Table[[#This Row],[Temp ID]])&gt;1,"Duplicate","Unique")</f>
        <v>Unique</v>
      </c>
      <c r="L70">
        <f>IF(Clean_Table[[#This Row],[Role]]="VIP",1,0)</f>
        <v>0</v>
      </c>
      <c r="M70">
        <f>IF(Clean_Table[[#This Row],[Role]]="Speaker",1,0)</f>
        <v>0</v>
      </c>
      <c r="N70">
        <f>IF(Clean_Table[[#This Row],[Role]]="Sponsor",1,0)</f>
        <v>1</v>
      </c>
      <c r="O70">
        <f>IF(Clean_Table[[#This Row],[Role]]="Attendee",1,0)</f>
        <v>0</v>
      </c>
      <c r="P70">
        <f>IF(Clean_Table[[#This Row],[Empty Cell Check]]="Missing",1,0)</f>
        <v>1</v>
      </c>
    </row>
    <row r="71" spans="1:16">
      <c r="A71" t="s">
        <v>183</v>
      </c>
      <c r="B71" t="s">
        <v>184</v>
      </c>
      <c r="C71" t="s">
        <v>810</v>
      </c>
      <c r="D71" t="s">
        <v>71</v>
      </c>
      <c r="E71" s="2" t="s">
        <v>841</v>
      </c>
      <c r="F71" t="s">
        <v>185</v>
      </c>
      <c r="G71" t="s">
        <v>91</v>
      </c>
      <c r="H71" t="s">
        <v>39</v>
      </c>
      <c r="I7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7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Walkermorgan.walker284@example.comWebinar: AI Ethics03:00 AM19BHalalAttendee</v>
      </c>
      <c r="K71" t="str">
        <f>IF(COUNTIF(Clean_Table[Temp ID],Clean_Table[[#This Row],[Temp ID]])&gt;1,"Duplicate","Unique")</f>
        <v>Unique</v>
      </c>
      <c r="L71">
        <f>IF(Clean_Table[[#This Row],[Role]]="VIP",1,0)</f>
        <v>0</v>
      </c>
      <c r="M71">
        <f>IF(Clean_Table[[#This Row],[Role]]="Speaker",1,0)</f>
        <v>0</v>
      </c>
      <c r="N71">
        <f>IF(Clean_Table[[#This Row],[Role]]="Sponsor",1,0)</f>
        <v>0</v>
      </c>
      <c r="O71">
        <f>IF(Clean_Table[[#This Row],[Role]]="Attendee",1,0)</f>
        <v>1</v>
      </c>
      <c r="P71">
        <f>IF(Clean_Table[[#This Row],[Empty Cell Check]]="Missing",1,0)</f>
        <v>1</v>
      </c>
    </row>
    <row r="72" spans="1:16">
      <c r="A72" t="s">
        <v>40</v>
      </c>
      <c r="B72" t="s">
        <v>186</v>
      </c>
      <c r="C72" t="s">
        <v>55</v>
      </c>
      <c r="D72" t="s">
        <v>50</v>
      </c>
      <c r="E72" s="1" t="s">
        <v>817</v>
      </c>
      <c r="F72" t="s">
        <v>185</v>
      </c>
      <c r="G72" t="s">
        <v>15</v>
      </c>
      <c r="H72" t="s">
        <v>24</v>
      </c>
      <c r="I7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7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Drew Allendrew.allen806@example.comBrazilWorkshop: Excel Mastery07:30 AM19BVegetarianSponsor</v>
      </c>
      <c r="K72" t="str">
        <f>IF(COUNTIF(Clean_Table[Temp ID],Clean_Table[[#This Row],[Temp ID]])&gt;1,"Duplicate","Unique")</f>
        <v>Unique</v>
      </c>
      <c r="L72">
        <f>IF(Clean_Table[[#This Row],[Role]]="VIP",1,0)</f>
        <v>0</v>
      </c>
      <c r="M72">
        <f>IF(Clean_Table[[#This Row],[Role]]="Speaker",1,0)</f>
        <v>0</v>
      </c>
      <c r="N72">
        <f>IF(Clean_Table[[#This Row],[Role]]="Sponsor",1,0)</f>
        <v>1</v>
      </c>
      <c r="O72">
        <f>IF(Clean_Table[[#This Row],[Role]]="Attendee",1,0)</f>
        <v>0</v>
      </c>
      <c r="P72">
        <f>IF(Clean_Table[[#This Row],[Empty Cell Check]]="Missing",1,0)</f>
        <v>0</v>
      </c>
    </row>
    <row r="73" spans="1:16">
      <c r="A73" t="s">
        <v>61</v>
      </c>
      <c r="B73" t="s">
        <v>187</v>
      </c>
      <c r="C73" t="s">
        <v>810</v>
      </c>
      <c r="D73" t="s">
        <v>810</v>
      </c>
      <c r="E73" s="2" t="s">
        <v>822</v>
      </c>
      <c r="F73" t="s">
        <v>185</v>
      </c>
      <c r="G73" t="s">
        <v>52</v>
      </c>
      <c r="H73" t="s">
        <v>39</v>
      </c>
      <c r="I7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7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Johnsonriley.johnson434@example.com04:00 AM19BVeganAttendee</v>
      </c>
      <c r="K73" t="str">
        <f>IF(COUNTIF(Clean_Table[Temp ID],Clean_Table[[#This Row],[Temp ID]])&gt;1,"Duplicate","Unique")</f>
        <v>Unique</v>
      </c>
      <c r="L73">
        <f>IF(Clean_Table[[#This Row],[Role]]="VIP",1,0)</f>
        <v>0</v>
      </c>
      <c r="M73">
        <f>IF(Clean_Table[[#This Row],[Role]]="Speaker",1,0)</f>
        <v>0</v>
      </c>
      <c r="N73">
        <f>IF(Clean_Table[[#This Row],[Role]]="Sponsor",1,0)</f>
        <v>0</v>
      </c>
      <c r="O73">
        <f>IF(Clean_Table[[#This Row],[Role]]="Attendee",1,0)</f>
        <v>1</v>
      </c>
      <c r="P73">
        <f>IF(Clean_Table[[#This Row],[Empty Cell Check]]="Missing",1,0)</f>
        <v>1</v>
      </c>
    </row>
    <row r="74" spans="1:16">
      <c r="A74" t="s">
        <v>188</v>
      </c>
      <c r="B74" t="s">
        <v>189</v>
      </c>
      <c r="C74" t="s">
        <v>68</v>
      </c>
      <c r="D74" t="s">
        <v>71</v>
      </c>
      <c r="E74" s="1" t="s">
        <v>819</v>
      </c>
      <c r="F74" t="s">
        <v>185</v>
      </c>
      <c r="G74" t="s">
        <v>810</v>
      </c>
      <c r="H74" t="s">
        <v>39</v>
      </c>
      <c r="I7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7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Alex Lewisalex.lewis450@example.comIndiaWebinar: AI Ethics01:00 AM19BAttendee</v>
      </c>
      <c r="K74" t="str">
        <f>IF(COUNTIF(Clean_Table[Temp ID],Clean_Table[[#This Row],[Temp ID]])&gt;1,"Duplicate","Unique")</f>
        <v>Unique</v>
      </c>
      <c r="L74">
        <f>IF(Clean_Table[[#This Row],[Role]]="VIP",1,0)</f>
        <v>0</v>
      </c>
      <c r="M74">
        <f>IF(Clean_Table[[#This Row],[Role]]="Speaker",1,0)</f>
        <v>0</v>
      </c>
      <c r="N74">
        <f>IF(Clean_Table[[#This Row],[Role]]="Sponsor",1,0)</f>
        <v>0</v>
      </c>
      <c r="O74">
        <f>IF(Clean_Table[[#This Row],[Role]]="Attendee",1,0)</f>
        <v>1</v>
      </c>
      <c r="P74">
        <f>IF(Clean_Table[[#This Row],[Empty Cell Check]]="Missing",1,0)</f>
        <v>1</v>
      </c>
    </row>
    <row r="75" spans="1:16">
      <c r="A75" t="s">
        <v>190</v>
      </c>
      <c r="B75" t="s">
        <v>191</v>
      </c>
      <c r="C75" t="s">
        <v>27</v>
      </c>
      <c r="D75" t="s">
        <v>810</v>
      </c>
      <c r="E75" s="1" t="s">
        <v>837</v>
      </c>
      <c r="F75" t="s">
        <v>185</v>
      </c>
      <c r="G75" t="s">
        <v>31</v>
      </c>
      <c r="H75" t="s">
        <v>39</v>
      </c>
      <c r="I7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7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Johnsoncasey.johnson9@example.comFrance10:30 AM19BNoneAttendee</v>
      </c>
      <c r="K75" t="str">
        <f>IF(COUNTIF(Clean_Table[Temp ID],Clean_Table[[#This Row],[Temp ID]])&gt;1,"Duplicate","Unique")</f>
        <v>Unique</v>
      </c>
      <c r="L75">
        <f>IF(Clean_Table[[#This Row],[Role]]="VIP",1,0)</f>
        <v>0</v>
      </c>
      <c r="M75">
        <f>IF(Clean_Table[[#This Row],[Role]]="Speaker",1,0)</f>
        <v>0</v>
      </c>
      <c r="N75">
        <f>IF(Clean_Table[[#This Row],[Role]]="Sponsor",1,0)</f>
        <v>0</v>
      </c>
      <c r="O75">
        <f>IF(Clean_Table[[#This Row],[Role]]="Attendee",1,0)</f>
        <v>1</v>
      </c>
      <c r="P75">
        <f>IF(Clean_Table[[#This Row],[Empty Cell Check]]="Missing",1,0)</f>
        <v>1</v>
      </c>
    </row>
    <row r="76" spans="1:16">
      <c r="A76" t="s">
        <v>121</v>
      </c>
      <c r="B76" t="s">
        <v>192</v>
      </c>
      <c r="C76" t="s">
        <v>55</v>
      </c>
      <c r="D76" t="s">
        <v>810</v>
      </c>
      <c r="E76" s="1" t="s">
        <v>830</v>
      </c>
      <c r="F76" t="s">
        <v>193</v>
      </c>
      <c r="G76" t="s">
        <v>28</v>
      </c>
      <c r="H76" t="s">
        <v>24</v>
      </c>
      <c r="I7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7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Jesse Lewisjesse.lewis677@example.comBrazil12:00 AM19CKosherSponsor</v>
      </c>
      <c r="K76" t="str">
        <f>IF(COUNTIF(Clean_Table[Temp ID],Clean_Table[[#This Row],[Temp ID]])&gt;1,"Duplicate","Unique")</f>
        <v>Unique</v>
      </c>
      <c r="L76">
        <f>IF(Clean_Table[[#This Row],[Role]]="VIP",1,0)</f>
        <v>0</v>
      </c>
      <c r="M76">
        <f>IF(Clean_Table[[#This Row],[Role]]="Speaker",1,0)</f>
        <v>0</v>
      </c>
      <c r="N76">
        <f>IF(Clean_Table[[#This Row],[Role]]="Sponsor",1,0)</f>
        <v>1</v>
      </c>
      <c r="O76">
        <f>IF(Clean_Table[[#This Row],[Role]]="Attendee",1,0)</f>
        <v>0</v>
      </c>
      <c r="P76">
        <f>IF(Clean_Table[[#This Row],[Empty Cell Check]]="Missing",1,0)</f>
        <v>1</v>
      </c>
    </row>
    <row r="77" spans="1:16">
      <c r="A77" t="s">
        <v>88</v>
      </c>
      <c r="B77" t="s">
        <v>194</v>
      </c>
      <c r="C77" t="s">
        <v>810</v>
      </c>
      <c r="D77" t="s">
        <v>810</v>
      </c>
      <c r="E77" s="2" t="s">
        <v>814</v>
      </c>
      <c r="F77" t="s">
        <v>193</v>
      </c>
      <c r="G77" t="s">
        <v>91</v>
      </c>
      <c r="H77" t="s">
        <v>39</v>
      </c>
      <c r="I7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7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Jordan Lewisjordan.lewis363@example.com11:00 PM19CHalalAttendee</v>
      </c>
      <c r="K77" t="str">
        <f>IF(COUNTIF(Clean_Table[Temp ID],Clean_Table[[#This Row],[Temp ID]])&gt;1,"Duplicate","Unique")</f>
        <v>Unique</v>
      </c>
      <c r="L77">
        <f>IF(Clean_Table[[#This Row],[Role]]="VIP",1,0)</f>
        <v>0</v>
      </c>
      <c r="M77">
        <f>IF(Clean_Table[[#This Row],[Role]]="Speaker",1,0)</f>
        <v>0</v>
      </c>
      <c r="N77">
        <f>IF(Clean_Table[[#This Row],[Role]]="Sponsor",1,0)</f>
        <v>0</v>
      </c>
      <c r="O77">
        <f>IF(Clean_Table[[#This Row],[Role]]="Attendee",1,0)</f>
        <v>1</v>
      </c>
      <c r="P77">
        <f>IF(Clean_Table[[#This Row],[Empty Cell Check]]="Missing",1,0)</f>
        <v>1</v>
      </c>
    </row>
    <row r="78" spans="1:16">
      <c r="A78" t="s">
        <v>133</v>
      </c>
      <c r="B78" t="s">
        <v>195</v>
      </c>
      <c r="C78" t="s">
        <v>12</v>
      </c>
      <c r="D78" t="s">
        <v>50</v>
      </c>
      <c r="E78" s="2" t="s">
        <v>850</v>
      </c>
      <c r="F78" t="s">
        <v>196</v>
      </c>
      <c r="G78" t="s">
        <v>810</v>
      </c>
      <c r="H78" t="s">
        <v>39</v>
      </c>
      <c r="I7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7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Walkerriley.walker779@example.comUnited StatesWorkshop: Excel Mastery05:00 PM19DAttendee</v>
      </c>
      <c r="K78" t="str">
        <f>IF(COUNTIF(Clean_Table[Temp ID],Clean_Table[[#This Row],[Temp ID]])&gt;1,"Duplicate","Unique")</f>
        <v>Unique</v>
      </c>
      <c r="L78">
        <f>IF(Clean_Table[[#This Row],[Role]]="VIP",1,0)</f>
        <v>0</v>
      </c>
      <c r="M78">
        <f>IF(Clean_Table[[#This Row],[Role]]="Speaker",1,0)</f>
        <v>0</v>
      </c>
      <c r="N78">
        <f>IF(Clean_Table[[#This Row],[Role]]="Sponsor",1,0)</f>
        <v>0</v>
      </c>
      <c r="O78">
        <f>IF(Clean_Table[[#This Row],[Role]]="Attendee",1,0)</f>
        <v>1</v>
      </c>
      <c r="P78">
        <f>IF(Clean_Table[[#This Row],[Empty Cell Check]]="Missing",1,0)</f>
        <v>1</v>
      </c>
    </row>
    <row r="79" spans="1:16">
      <c r="A79" t="s">
        <v>197</v>
      </c>
      <c r="B79" t="s">
        <v>198</v>
      </c>
      <c r="C79" t="s">
        <v>810</v>
      </c>
      <c r="D79" t="s">
        <v>71</v>
      </c>
      <c r="E79" s="1" t="s">
        <v>824</v>
      </c>
      <c r="F79" t="s">
        <v>196</v>
      </c>
      <c r="G79" t="s">
        <v>52</v>
      </c>
      <c r="H79" t="s">
        <v>24</v>
      </c>
      <c r="I7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7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Lewisjamie.lewis475@example.comWebinar: AI Ethics06:00 PM19DVeganSponsor</v>
      </c>
      <c r="K79" t="str">
        <f>IF(COUNTIF(Clean_Table[Temp ID],Clean_Table[[#This Row],[Temp ID]])&gt;1,"Duplicate","Unique")</f>
        <v>Unique</v>
      </c>
      <c r="L79">
        <f>IF(Clean_Table[[#This Row],[Role]]="VIP",1,0)</f>
        <v>0</v>
      </c>
      <c r="M79">
        <f>IF(Clean_Table[[#This Row],[Role]]="Speaker",1,0)</f>
        <v>0</v>
      </c>
      <c r="N79">
        <f>IF(Clean_Table[[#This Row],[Role]]="Sponsor",1,0)</f>
        <v>1</v>
      </c>
      <c r="O79">
        <f>IF(Clean_Table[[#This Row],[Role]]="Attendee",1,0)</f>
        <v>0</v>
      </c>
      <c r="P79">
        <f>IF(Clean_Table[[#This Row],[Empty Cell Check]]="Missing",1,0)</f>
        <v>1</v>
      </c>
    </row>
    <row r="80" spans="1:16">
      <c r="A80" t="s">
        <v>94</v>
      </c>
      <c r="B80" t="s">
        <v>199</v>
      </c>
      <c r="C80" t="s">
        <v>101</v>
      </c>
      <c r="D80" t="s">
        <v>45</v>
      </c>
      <c r="E80" s="2" t="s">
        <v>832</v>
      </c>
      <c r="F80" t="s">
        <v>196</v>
      </c>
      <c r="G80" t="s">
        <v>28</v>
      </c>
      <c r="H80" t="s">
        <v>39</v>
      </c>
      <c r="I8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8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Alex Brownalex.brown363@example.comJapanKeynote: Future of Data12:00 PM19DKosherAttendee</v>
      </c>
      <c r="K80" t="str">
        <f>IF(COUNTIF(Clean_Table[Temp ID],Clean_Table[[#This Row],[Temp ID]])&gt;1,"Duplicate","Unique")</f>
        <v>Unique</v>
      </c>
      <c r="L80">
        <f>IF(Clean_Table[[#This Row],[Role]]="VIP",1,0)</f>
        <v>0</v>
      </c>
      <c r="M80">
        <f>IF(Clean_Table[[#This Row],[Role]]="Speaker",1,0)</f>
        <v>0</v>
      </c>
      <c r="N80">
        <f>IF(Clean_Table[[#This Row],[Role]]="Sponsor",1,0)</f>
        <v>0</v>
      </c>
      <c r="O80">
        <f>IF(Clean_Table[[#This Row],[Role]]="Attendee",1,0)</f>
        <v>1</v>
      </c>
      <c r="P80">
        <f>IF(Clean_Table[[#This Row],[Empty Cell Check]]="Missing",1,0)</f>
        <v>0</v>
      </c>
    </row>
    <row r="81" spans="1:16">
      <c r="A81" t="s">
        <v>164</v>
      </c>
      <c r="B81" t="s">
        <v>200</v>
      </c>
      <c r="C81" t="s">
        <v>68</v>
      </c>
      <c r="D81" t="s">
        <v>810</v>
      </c>
      <c r="E81" s="2" t="s">
        <v>825</v>
      </c>
      <c r="F81" t="s">
        <v>201</v>
      </c>
      <c r="G81" t="s">
        <v>810</v>
      </c>
      <c r="H81" t="s">
        <v>24</v>
      </c>
      <c r="I8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8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Alex Hallalex.hall509@example.comIndia10:00 AM1ASponsor</v>
      </c>
      <c r="K81" t="str">
        <f>IF(COUNTIF(Clean_Table[Temp ID],Clean_Table[[#This Row],[Temp ID]])&gt;1,"Duplicate","Unique")</f>
        <v>Unique</v>
      </c>
      <c r="L81">
        <f>IF(Clean_Table[[#This Row],[Role]]="VIP",1,0)</f>
        <v>0</v>
      </c>
      <c r="M81">
        <f>IF(Clean_Table[[#This Row],[Role]]="Speaker",1,0)</f>
        <v>0</v>
      </c>
      <c r="N81">
        <f>IF(Clean_Table[[#This Row],[Role]]="Sponsor",1,0)</f>
        <v>1</v>
      </c>
      <c r="O81">
        <f>IF(Clean_Table[[#This Row],[Role]]="Attendee",1,0)</f>
        <v>0</v>
      </c>
      <c r="P81">
        <f>IF(Clean_Table[[#This Row],[Empty Cell Check]]="Missing",1,0)</f>
        <v>1</v>
      </c>
    </row>
    <row r="82" spans="1:16">
      <c r="A82" t="s">
        <v>202</v>
      </c>
      <c r="B82" t="s">
        <v>203</v>
      </c>
      <c r="C82" t="s">
        <v>27</v>
      </c>
      <c r="D82" t="s">
        <v>79</v>
      </c>
      <c r="E82" s="2" t="s">
        <v>816</v>
      </c>
      <c r="F82" t="s">
        <v>204</v>
      </c>
      <c r="G82" t="s">
        <v>15</v>
      </c>
      <c r="H82" t="s">
        <v>39</v>
      </c>
      <c r="I8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8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Jesse Leejesse.lee580@example.comFrancePanel: Women in Tech01:00 PM1CVegetarianAttendee</v>
      </c>
      <c r="K82" t="str">
        <f>IF(COUNTIF(Clean_Table[Temp ID],Clean_Table[[#This Row],[Temp ID]])&gt;1,"Duplicate","Unique")</f>
        <v>Unique</v>
      </c>
      <c r="L82">
        <f>IF(Clean_Table[[#This Row],[Role]]="VIP",1,0)</f>
        <v>0</v>
      </c>
      <c r="M82">
        <f>IF(Clean_Table[[#This Row],[Role]]="Speaker",1,0)</f>
        <v>0</v>
      </c>
      <c r="N82">
        <f>IF(Clean_Table[[#This Row],[Role]]="Sponsor",1,0)</f>
        <v>0</v>
      </c>
      <c r="O82">
        <f>IF(Clean_Table[[#This Row],[Role]]="Attendee",1,0)</f>
        <v>1</v>
      </c>
      <c r="P82">
        <f>IF(Clean_Table[[#This Row],[Empty Cell Check]]="Missing",1,0)</f>
        <v>0</v>
      </c>
    </row>
    <row r="83" spans="1:16">
      <c r="A83" t="s">
        <v>205</v>
      </c>
      <c r="B83" t="s">
        <v>206</v>
      </c>
      <c r="C83" t="s">
        <v>810</v>
      </c>
      <c r="D83" t="s">
        <v>79</v>
      </c>
      <c r="E83" s="1" t="s">
        <v>851</v>
      </c>
      <c r="F83" t="s">
        <v>204</v>
      </c>
      <c r="G83" t="s">
        <v>31</v>
      </c>
      <c r="H83" t="s">
        <v>21</v>
      </c>
      <c r="I8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8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Drew Johnsondrew.johnson788@example.comPanel: Women in Tech05:30 PM1CNoneSpeaker</v>
      </c>
      <c r="K83" t="str">
        <f>IF(COUNTIF(Clean_Table[Temp ID],Clean_Table[[#This Row],[Temp ID]])&gt;1,"Duplicate","Unique")</f>
        <v>Unique</v>
      </c>
      <c r="L83">
        <f>IF(Clean_Table[[#This Row],[Role]]="VIP",1,0)</f>
        <v>0</v>
      </c>
      <c r="M83">
        <f>IF(Clean_Table[[#This Row],[Role]]="Speaker",1,0)</f>
        <v>1</v>
      </c>
      <c r="N83">
        <f>IF(Clean_Table[[#This Row],[Role]]="Sponsor",1,0)</f>
        <v>0</v>
      </c>
      <c r="O83">
        <f>IF(Clean_Table[[#This Row],[Role]]="Attendee",1,0)</f>
        <v>0</v>
      </c>
      <c r="P83">
        <f>IF(Clean_Table[[#This Row],[Empty Cell Check]]="Missing",1,0)</f>
        <v>1</v>
      </c>
    </row>
    <row r="84" spans="1:16">
      <c r="A84" t="s">
        <v>207</v>
      </c>
      <c r="B84" t="s">
        <v>208</v>
      </c>
      <c r="C84" t="s">
        <v>810</v>
      </c>
      <c r="D84" t="s">
        <v>13</v>
      </c>
      <c r="E84" s="1" t="s">
        <v>820</v>
      </c>
      <c r="F84" t="s">
        <v>209</v>
      </c>
      <c r="G84" t="s">
        <v>91</v>
      </c>
      <c r="H84" t="s">
        <v>39</v>
      </c>
      <c r="I8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8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Chris Wilsonchris.wilson739@example.comTraining: Dashboard Design08:00 PM1DHalalAttendee</v>
      </c>
      <c r="K84" t="str">
        <f>IF(COUNTIF(Clean_Table[Temp ID],Clean_Table[[#This Row],[Temp ID]])&gt;1,"Duplicate","Unique")</f>
        <v>Unique</v>
      </c>
      <c r="L84">
        <f>IF(Clean_Table[[#This Row],[Role]]="VIP",1,0)</f>
        <v>0</v>
      </c>
      <c r="M84">
        <f>IF(Clean_Table[[#This Row],[Role]]="Speaker",1,0)</f>
        <v>0</v>
      </c>
      <c r="N84">
        <f>IF(Clean_Table[[#This Row],[Role]]="Sponsor",1,0)</f>
        <v>0</v>
      </c>
      <c r="O84">
        <f>IF(Clean_Table[[#This Row],[Role]]="Attendee",1,0)</f>
        <v>1</v>
      </c>
      <c r="P84">
        <f>IF(Clean_Table[[#This Row],[Empty Cell Check]]="Missing",1,0)</f>
        <v>1</v>
      </c>
    </row>
    <row r="85" spans="1:16">
      <c r="A85" t="s">
        <v>135</v>
      </c>
      <c r="B85" t="s">
        <v>210</v>
      </c>
      <c r="C85" t="s">
        <v>112</v>
      </c>
      <c r="D85" t="s">
        <v>13</v>
      </c>
      <c r="E85" s="1" t="s">
        <v>846</v>
      </c>
      <c r="F85" t="s">
        <v>209</v>
      </c>
      <c r="G85" t="s">
        <v>91</v>
      </c>
      <c r="H85" t="s">
        <v>39</v>
      </c>
      <c r="I8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8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Leemorgan.lee417@example.comNigeriaTraining: Dashboard Design07:00 PM1DHalalAttendee</v>
      </c>
      <c r="K85" t="str">
        <f>IF(COUNTIF(Clean_Table[Temp ID],Clean_Table[[#This Row],[Temp ID]])&gt;1,"Duplicate","Unique")</f>
        <v>Unique</v>
      </c>
      <c r="L85">
        <f>IF(Clean_Table[[#This Row],[Role]]="VIP",1,0)</f>
        <v>0</v>
      </c>
      <c r="M85">
        <f>IF(Clean_Table[[#This Row],[Role]]="Speaker",1,0)</f>
        <v>0</v>
      </c>
      <c r="N85">
        <f>IF(Clean_Table[[#This Row],[Role]]="Sponsor",1,0)</f>
        <v>0</v>
      </c>
      <c r="O85">
        <f>IF(Clean_Table[[#This Row],[Role]]="Attendee",1,0)</f>
        <v>1</v>
      </c>
      <c r="P85">
        <f>IF(Clean_Table[[#This Row],[Empty Cell Check]]="Missing",1,0)</f>
        <v>0</v>
      </c>
    </row>
    <row r="86" spans="1:16">
      <c r="A86" t="s">
        <v>211</v>
      </c>
      <c r="B86" t="s">
        <v>212</v>
      </c>
      <c r="C86" t="s">
        <v>68</v>
      </c>
      <c r="D86" t="s">
        <v>810</v>
      </c>
      <c r="E86" s="1" t="s">
        <v>851</v>
      </c>
      <c r="F86" t="s">
        <v>209</v>
      </c>
      <c r="G86" t="s">
        <v>810</v>
      </c>
      <c r="H86" t="s">
        <v>39</v>
      </c>
      <c r="I8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8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Johnsonmorgan.johnson969@example.comIndia05:30 PM1DAttendee</v>
      </c>
      <c r="K86" t="str">
        <f>IF(COUNTIF(Clean_Table[Temp ID],Clean_Table[[#This Row],[Temp ID]])&gt;1,"Duplicate","Unique")</f>
        <v>Unique</v>
      </c>
      <c r="L86">
        <f>IF(Clean_Table[[#This Row],[Role]]="VIP",1,0)</f>
        <v>0</v>
      </c>
      <c r="M86">
        <f>IF(Clean_Table[[#This Row],[Role]]="Speaker",1,0)</f>
        <v>0</v>
      </c>
      <c r="N86">
        <f>IF(Clean_Table[[#This Row],[Role]]="Sponsor",1,0)</f>
        <v>0</v>
      </c>
      <c r="O86">
        <f>IF(Clean_Table[[#This Row],[Role]]="Attendee",1,0)</f>
        <v>1</v>
      </c>
      <c r="P86">
        <f>IF(Clean_Table[[#This Row],[Empty Cell Check]]="Missing",1,0)</f>
        <v>1</v>
      </c>
    </row>
    <row r="87" spans="1:16">
      <c r="A87" t="s">
        <v>53</v>
      </c>
      <c r="B87" t="s">
        <v>213</v>
      </c>
      <c r="C87" t="s">
        <v>810</v>
      </c>
      <c r="D87" t="s">
        <v>71</v>
      </c>
      <c r="E87" s="1" t="s">
        <v>832</v>
      </c>
      <c r="F87" t="s">
        <v>209</v>
      </c>
      <c r="G87" t="s">
        <v>52</v>
      </c>
      <c r="H87" t="s">
        <v>39</v>
      </c>
      <c r="I8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8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Brownriley.brown30@example.comWebinar: AI Ethics12:00 PM1DVeganAttendee</v>
      </c>
      <c r="K87" t="str">
        <f>IF(COUNTIF(Clean_Table[Temp ID],Clean_Table[[#This Row],[Temp ID]])&gt;1,"Duplicate","Unique")</f>
        <v>Unique</v>
      </c>
      <c r="L87">
        <f>IF(Clean_Table[[#This Row],[Role]]="VIP",1,0)</f>
        <v>0</v>
      </c>
      <c r="M87">
        <f>IF(Clean_Table[[#This Row],[Role]]="Speaker",1,0)</f>
        <v>0</v>
      </c>
      <c r="N87">
        <f>IF(Clean_Table[[#This Row],[Role]]="Sponsor",1,0)</f>
        <v>0</v>
      </c>
      <c r="O87">
        <f>IF(Clean_Table[[#This Row],[Role]]="Attendee",1,0)</f>
        <v>1</v>
      </c>
      <c r="P87">
        <f>IF(Clean_Table[[#This Row],[Empty Cell Check]]="Missing",1,0)</f>
        <v>1</v>
      </c>
    </row>
    <row r="88" spans="1:16">
      <c r="A88" t="s">
        <v>214</v>
      </c>
      <c r="B88" t="s">
        <v>215</v>
      </c>
      <c r="C88" t="s">
        <v>68</v>
      </c>
      <c r="D88" t="s">
        <v>13</v>
      </c>
      <c r="E88" s="2" t="s">
        <v>852</v>
      </c>
      <c r="F88" t="s">
        <v>216</v>
      </c>
      <c r="G88" t="s">
        <v>52</v>
      </c>
      <c r="H88" t="s">
        <v>39</v>
      </c>
      <c r="I8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8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Jordan Clarkjordan.clark211@example.comIndiaTraining: Dashboard Design09:30 PM20BVeganAttendee</v>
      </c>
      <c r="K88" t="str">
        <f>IF(COUNTIF(Clean_Table[Temp ID],Clean_Table[[#This Row],[Temp ID]])&gt;1,"Duplicate","Unique")</f>
        <v>Unique</v>
      </c>
      <c r="L88">
        <f>IF(Clean_Table[[#This Row],[Role]]="VIP",1,0)</f>
        <v>0</v>
      </c>
      <c r="M88">
        <f>IF(Clean_Table[[#This Row],[Role]]="Speaker",1,0)</f>
        <v>0</v>
      </c>
      <c r="N88">
        <f>IF(Clean_Table[[#This Row],[Role]]="Sponsor",1,0)</f>
        <v>0</v>
      </c>
      <c r="O88">
        <f>IF(Clean_Table[[#This Row],[Role]]="Attendee",1,0)</f>
        <v>1</v>
      </c>
      <c r="P88">
        <f>IF(Clean_Table[[#This Row],[Empty Cell Check]]="Missing",1,0)</f>
        <v>0</v>
      </c>
    </row>
    <row r="89" spans="1:16">
      <c r="A89" t="s">
        <v>114</v>
      </c>
      <c r="B89" t="s">
        <v>217</v>
      </c>
      <c r="C89" t="s">
        <v>78</v>
      </c>
      <c r="D89" t="s">
        <v>13</v>
      </c>
      <c r="E89" s="2" t="s">
        <v>823</v>
      </c>
      <c r="F89" t="s">
        <v>218</v>
      </c>
      <c r="G89" t="s">
        <v>810</v>
      </c>
      <c r="H89" t="s">
        <v>39</v>
      </c>
      <c r="I8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8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Drew Wilsondrew.wilson386@example.comAustraliaTraining: Dashboard Design05:30 AM20CAttendee</v>
      </c>
      <c r="K89" t="str">
        <f>IF(COUNTIF(Clean_Table[Temp ID],Clean_Table[[#This Row],[Temp ID]])&gt;1,"Duplicate","Unique")</f>
        <v>Unique</v>
      </c>
      <c r="L89">
        <f>IF(Clean_Table[[#This Row],[Role]]="VIP",1,0)</f>
        <v>0</v>
      </c>
      <c r="M89">
        <f>IF(Clean_Table[[#This Row],[Role]]="Speaker",1,0)</f>
        <v>0</v>
      </c>
      <c r="N89">
        <f>IF(Clean_Table[[#This Row],[Role]]="Sponsor",1,0)</f>
        <v>0</v>
      </c>
      <c r="O89">
        <f>IF(Clean_Table[[#This Row],[Role]]="Attendee",1,0)</f>
        <v>1</v>
      </c>
      <c r="P89">
        <f>IF(Clean_Table[[#This Row],[Empty Cell Check]]="Missing",1,0)</f>
        <v>1</v>
      </c>
    </row>
    <row r="90" spans="1:16">
      <c r="A90" t="s">
        <v>121</v>
      </c>
      <c r="B90" t="s">
        <v>219</v>
      </c>
      <c r="C90" t="s">
        <v>55</v>
      </c>
      <c r="D90" t="s">
        <v>13</v>
      </c>
      <c r="E90" s="2" t="s">
        <v>816</v>
      </c>
      <c r="F90" t="s">
        <v>218</v>
      </c>
      <c r="G90" t="s">
        <v>31</v>
      </c>
      <c r="H90" t="s">
        <v>39</v>
      </c>
      <c r="I9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9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Jesse Lewisjesse.lewis824@example.comBrazilTraining: Dashboard Design01:00 PM20CNoneAttendee</v>
      </c>
      <c r="K90" t="str">
        <f>IF(COUNTIF(Clean_Table[Temp ID],Clean_Table[[#This Row],[Temp ID]])&gt;1,"Duplicate","Unique")</f>
        <v>Unique</v>
      </c>
      <c r="L90">
        <f>IF(Clean_Table[[#This Row],[Role]]="VIP",1,0)</f>
        <v>0</v>
      </c>
      <c r="M90">
        <f>IF(Clean_Table[[#This Row],[Role]]="Speaker",1,0)</f>
        <v>0</v>
      </c>
      <c r="N90">
        <f>IF(Clean_Table[[#This Row],[Role]]="Sponsor",1,0)</f>
        <v>0</v>
      </c>
      <c r="O90">
        <f>IF(Clean_Table[[#This Row],[Role]]="Attendee",1,0)</f>
        <v>1</v>
      </c>
      <c r="P90">
        <f>IF(Clean_Table[[#This Row],[Empty Cell Check]]="Missing",1,0)</f>
        <v>0</v>
      </c>
    </row>
    <row r="91" spans="1:16">
      <c r="A91" t="s">
        <v>85</v>
      </c>
      <c r="B91" t="s">
        <v>220</v>
      </c>
      <c r="C91" t="s">
        <v>810</v>
      </c>
      <c r="D91" t="s">
        <v>810</v>
      </c>
      <c r="E91" s="2" t="s">
        <v>833</v>
      </c>
      <c r="F91" t="s">
        <v>221</v>
      </c>
      <c r="G91" t="s">
        <v>810</v>
      </c>
      <c r="H91" t="s">
        <v>39</v>
      </c>
      <c r="I9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9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Jesse Johnsonjesse.johnson771@example.com07:00 AM20DAttendee</v>
      </c>
      <c r="K91" t="str">
        <f>IF(COUNTIF(Clean_Table[Temp ID],Clean_Table[[#This Row],[Temp ID]])&gt;1,"Duplicate","Unique")</f>
        <v>Unique</v>
      </c>
      <c r="L91">
        <f>IF(Clean_Table[[#This Row],[Role]]="VIP",1,0)</f>
        <v>0</v>
      </c>
      <c r="M91">
        <f>IF(Clean_Table[[#This Row],[Role]]="Speaker",1,0)</f>
        <v>0</v>
      </c>
      <c r="N91">
        <f>IF(Clean_Table[[#This Row],[Role]]="Sponsor",1,0)</f>
        <v>0</v>
      </c>
      <c r="O91">
        <f>IF(Clean_Table[[#This Row],[Role]]="Attendee",1,0)</f>
        <v>1</v>
      </c>
      <c r="P91">
        <f>IF(Clean_Table[[#This Row],[Empty Cell Check]]="Missing",1,0)</f>
        <v>1</v>
      </c>
    </row>
    <row r="92" spans="1:16">
      <c r="A92" t="s">
        <v>173</v>
      </c>
      <c r="B92" t="s">
        <v>222</v>
      </c>
      <c r="C92" t="s">
        <v>34</v>
      </c>
      <c r="D92" t="s">
        <v>79</v>
      </c>
      <c r="E92" s="1" t="s">
        <v>825</v>
      </c>
      <c r="F92" t="s">
        <v>221</v>
      </c>
      <c r="G92" t="s">
        <v>15</v>
      </c>
      <c r="H92" t="s">
        <v>39</v>
      </c>
      <c r="I9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9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Chris Allenchris.allen895@example.comGermanyPanel: Women in Tech10:00 AM20DVegetarianAttendee</v>
      </c>
      <c r="K92" t="str">
        <f>IF(COUNTIF(Clean_Table[Temp ID],Clean_Table[[#This Row],[Temp ID]])&gt;1,"Duplicate","Unique")</f>
        <v>Unique</v>
      </c>
      <c r="L92">
        <f>IF(Clean_Table[[#This Row],[Role]]="VIP",1,0)</f>
        <v>0</v>
      </c>
      <c r="M92">
        <f>IF(Clean_Table[[#This Row],[Role]]="Speaker",1,0)</f>
        <v>0</v>
      </c>
      <c r="N92">
        <f>IF(Clean_Table[[#This Row],[Role]]="Sponsor",1,0)</f>
        <v>0</v>
      </c>
      <c r="O92">
        <f>IF(Clean_Table[[#This Row],[Role]]="Attendee",1,0)</f>
        <v>1</v>
      </c>
      <c r="P92">
        <f>IF(Clean_Table[[#This Row],[Empty Cell Check]]="Missing",1,0)</f>
        <v>0</v>
      </c>
    </row>
    <row r="93" spans="1:16">
      <c r="A93" t="s">
        <v>223</v>
      </c>
      <c r="B93" t="s">
        <v>224</v>
      </c>
      <c r="C93" t="s">
        <v>810</v>
      </c>
      <c r="D93" t="s">
        <v>79</v>
      </c>
      <c r="E93" s="1" t="s">
        <v>828</v>
      </c>
      <c r="F93" t="s">
        <v>221</v>
      </c>
      <c r="G93" t="s">
        <v>810</v>
      </c>
      <c r="H93" t="s">
        <v>39</v>
      </c>
      <c r="I9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9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Drew Leedrew.lee970@example.comPanel: Women in Tech04:30 PM20DAttendee</v>
      </c>
      <c r="K93" t="str">
        <f>IF(COUNTIF(Clean_Table[Temp ID],Clean_Table[[#This Row],[Temp ID]])&gt;1,"Duplicate","Unique")</f>
        <v>Unique</v>
      </c>
      <c r="L93">
        <f>IF(Clean_Table[[#This Row],[Role]]="VIP",1,0)</f>
        <v>0</v>
      </c>
      <c r="M93">
        <f>IF(Clean_Table[[#This Row],[Role]]="Speaker",1,0)</f>
        <v>0</v>
      </c>
      <c r="N93">
        <f>IF(Clean_Table[[#This Row],[Role]]="Sponsor",1,0)</f>
        <v>0</v>
      </c>
      <c r="O93">
        <f>IF(Clean_Table[[#This Row],[Role]]="Attendee",1,0)</f>
        <v>1</v>
      </c>
      <c r="P93">
        <f>IF(Clean_Table[[#This Row],[Empty Cell Check]]="Missing",1,0)</f>
        <v>1</v>
      </c>
    </row>
    <row r="94" spans="1:16">
      <c r="A94" t="s">
        <v>61</v>
      </c>
      <c r="B94" t="s">
        <v>225</v>
      </c>
      <c r="C94" t="s">
        <v>78</v>
      </c>
      <c r="D94" t="s">
        <v>810</v>
      </c>
      <c r="E94" s="1" t="s">
        <v>820</v>
      </c>
      <c r="F94" t="s">
        <v>226</v>
      </c>
      <c r="G94" t="s">
        <v>810</v>
      </c>
      <c r="H94" t="s">
        <v>39</v>
      </c>
      <c r="I9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9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Johnsonriley.johnson679@example.comAustralia08:00 PM21AAttendee</v>
      </c>
      <c r="K94" t="str">
        <f>IF(COUNTIF(Clean_Table[Temp ID],Clean_Table[[#This Row],[Temp ID]])&gt;1,"Duplicate","Unique")</f>
        <v>Unique</v>
      </c>
      <c r="L94">
        <f>IF(Clean_Table[[#This Row],[Role]]="VIP",1,0)</f>
        <v>0</v>
      </c>
      <c r="M94">
        <f>IF(Clean_Table[[#This Row],[Role]]="Speaker",1,0)</f>
        <v>0</v>
      </c>
      <c r="N94">
        <f>IF(Clean_Table[[#This Row],[Role]]="Sponsor",1,0)</f>
        <v>0</v>
      </c>
      <c r="O94">
        <f>IF(Clean_Table[[#This Row],[Role]]="Attendee",1,0)</f>
        <v>1</v>
      </c>
      <c r="P94">
        <f>IF(Clean_Table[[#This Row],[Empty Cell Check]]="Missing",1,0)</f>
        <v>1</v>
      </c>
    </row>
    <row r="95" spans="1:16">
      <c r="A95" t="s">
        <v>92</v>
      </c>
      <c r="B95" t="s">
        <v>227</v>
      </c>
      <c r="C95" t="s">
        <v>34</v>
      </c>
      <c r="D95" t="s">
        <v>810</v>
      </c>
      <c r="E95" s="2" t="s">
        <v>830</v>
      </c>
      <c r="F95" t="s">
        <v>226</v>
      </c>
      <c r="G95" t="s">
        <v>91</v>
      </c>
      <c r="H95" t="s">
        <v>39</v>
      </c>
      <c r="I9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9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Jordan Brownjordan.brown455@example.comGermany12:00 AM21AHalalAttendee</v>
      </c>
      <c r="K95" t="str">
        <f>IF(COUNTIF(Clean_Table[Temp ID],Clean_Table[[#This Row],[Temp ID]])&gt;1,"Duplicate","Unique")</f>
        <v>Unique</v>
      </c>
      <c r="L95">
        <f>IF(Clean_Table[[#This Row],[Role]]="VIP",1,0)</f>
        <v>0</v>
      </c>
      <c r="M95">
        <f>IF(Clean_Table[[#This Row],[Role]]="Speaker",1,0)</f>
        <v>0</v>
      </c>
      <c r="N95">
        <f>IF(Clean_Table[[#This Row],[Role]]="Sponsor",1,0)</f>
        <v>0</v>
      </c>
      <c r="O95">
        <f>IF(Clean_Table[[#This Row],[Role]]="Attendee",1,0)</f>
        <v>1</v>
      </c>
      <c r="P95">
        <f>IF(Clean_Table[[#This Row],[Empty Cell Check]]="Missing",1,0)</f>
        <v>1</v>
      </c>
    </row>
    <row r="96" spans="1:16">
      <c r="A96" t="s">
        <v>22</v>
      </c>
      <c r="B96" t="s">
        <v>228</v>
      </c>
      <c r="C96" t="s">
        <v>78</v>
      </c>
      <c r="D96" t="s">
        <v>45</v>
      </c>
      <c r="E96" s="2" t="s">
        <v>821</v>
      </c>
      <c r="F96" t="s">
        <v>226</v>
      </c>
      <c r="G96" t="s">
        <v>31</v>
      </c>
      <c r="H96" t="s">
        <v>39</v>
      </c>
      <c r="I9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9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Hallmorgan.hall48@example.comAustraliaKeynote: Future of Data09:30 AM21ANoneAttendee</v>
      </c>
      <c r="K96" t="str">
        <f>IF(COUNTIF(Clean_Table[Temp ID],Clean_Table[[#This Row],[Temp ID]])&gt;1,"Duplicate","Unique")</f>
        <v>Unique</v>
      </c>
      <c r="L96">
        <f>IF(Clean_Table[[#This Row],[Role]]="VIP",1,0)</f>
        <v>0</v>
      </c>
      <c r="M96">
        <f>IF(Clean_Table[[#This Row],[Role]]="Speaker",1,0)</f>
        <v>0</v>
      </c>
      <c r="N96">
        <f>IF(Clean_Table[[#This Row],[Role]]="Sponsor",1,0)</f>
        <v>0</v>
      </c>
      <c r="O96">
        <f>IF(Clean_Table[[#This Row],[Role]]="Attendee",1,0)</f>
        <v>1</v>
      </c>
      <c r="P96">
        <f>IF(Clean_Table[[#This Row],[Empty Cell Check]]="Missing",1,0)</f>
        <v>0</v>
      </c>
    </row>
    <row r="97" spans="1:16">
      <c r="A97" t="s">
        <v>229</v>
      </c>
      <c r="B97" t="s">
        <v>230</v>
      </c>
      <c r="C97" t="s">
        <v>810</v>
      </c>
      <c r="D97" t="s">
        <v>71</v>
      </c>
      <c r="E97" s="1" t="s">
        <v>839</v>
      </c>
      <c r="F97" t="s">
        <v>231</v>
      </c>
      <c r="G97" t="s">
        <v>28</v>
      </c>
      <c r="H97" t="s">
        <v>39</v>
      </c>
      <c r="I9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9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Jordan Wilsonjordan.wilson512@example.comWebinar: AI Ethics09:00 AM21BKosherAttendee</v>
      </c>
      <c r="K97" t="str">
        <f>IF(COUNTIF(Clean_Table[Temp ID],Clean_Table[[#This Row],[Temp ID]])&gt;1,"Duplicate","Unique")</f>
        <v>Unique</v>
      </c>
      <c r="L97">
        <f>IF(Clean_Table[[#This Row],[Role]]="VIP",1,0)</f>
        <v>0</v>
      </c>
      <c r="M97">
        <f>IF(Clean_Table[[#This Row],[Role]]="Speaker",1,0)</f>
        <v>0</v>
      </c>
      <c r="N97">
        <f>IF(Clean_Table[[#This Row],[Role]]="Sponsor",1,0)</f>
        <v>0</v>
      </c>
      <c r="O97">
        <f>IF(Clean_Table[[#This Row],[Role]]="Attendee",1,0)</f>
        <v>1</v>
      </c>
      <c r="P97">
        <f>IF(Clean_Table[[#This Row],[Empty Cell Check]]="Missing",1,0)</f>
        <v>1</v>
      </c>
    </row>
    <row r="98" spans="1:16">
      <c r="A98" t="s">
        <v>127</v>
      </c>
      <c r="B98" t="s">
        <v>232</v>
      </c>
      <c r="C98" t="s">
        <v>37</v>
      </c>
      <c r="D98" t="s">
        <v>13</v>
      </c>
      <c r="E98" s="2" t="s">
        <v>844</v>
      </c>
      <c r="F98" t="s">
        <v>231</v>
      </c>
      <c r="G98" t="s">
        <v>52</v>
      </c>
      <c r="H98" t="s">
        <v>39</v>
      </c>
      <c r="I9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9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Lewiscasey.lewis703@example.comCanadaTraining: Dashboard Design02:00 AM21BVeganAttendee</v>
      </c>
      <c r="K98" t="str">
        <f>IF(COUNTIF(Clean_Table[Temp ID],Clean_Table[[#This Row],[Temp ID]])&gt;1,"Duplicate","Unique")</f>
        <v>Unique</v>
      </c>
      <c r="L98">
        <f>IF(Clean_Table[[#This Row],[Role]]="VIP",1,0)</f>
        <v>0</v>
      </c>
      <c r="M98">
        <f>IF(Clean_Table[[#This Row],[Role]]="Speaker",1,0)</f>
        <v>0</v>
      </c>
      <c r="N98">
        <f>IF(Clean_Table[[#This Row],[Role]]="Sponsor",1,0)</f>
        <v>0</v>
      </c>
      <c r="O98">
        <f>IF(Clean_Table[[#This Row],[Role]]="Attendee",1,0)</f>
        <v>1</v>
      </c>
      <c r="P98">
        <f>IF(Clean_Table[[#This Row],[Empty Cell Check]]="Missing",1,0)</f>
        <v>0</v>
      </c>
    </row>
    <row r="99" spans="1:16">
      <c r="A99" t="s">
        <v>76</v>
      </c>
      <c r="B99" t="s">
        <v>233</v>
      </c>
      <c r="C99" t="s">
        <v>112</v>
      </c>
      <c r="D99" t="s">
        <v>13</v>
      </c>
      <c r="E99" s="1" t="s">
        <v>853</v>
      </c>
      <c r="F99" t="s">
        <v>231</v>
      </c>
      <c r="G99" t="s">
        <v>91</v>
      </c>
      <c r="H99" t="s">
        <v>39</v>
      </c>
      <c r="I9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9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Chris Clarkchris.clark526@example.comNigeriaTraining: Dashboard Design12:30 AM21BHalalAttendee</v>
      </c>
      <c r="K99" t="str">
        <f>IF(COUNTIF(Clean_Table[Temp ID],Clean_Table[[#This Row],[Temp ID]])&gt;1,"Duplicate","Unique")</f>
        <v>Unique</v>
      </c>
      <c r="L99">
        <f>IF(Clean_Table[[#This Row],[Role]]="VIP",1,0)</f>
        <v>0</v>
      </c>
      <c r="M99">
        <f>IF(Clean_Table[[#This Row],[Role]]="Speaker",1,0)</f>
        <v>0</v>
      </c>
      <c r="N99">
        <f>IF(Clean_Table[[#This Row],[Role]]="Sponsor",1,0)</f>
        <v>0</v>
      </c>
      <c r="O99">
        <f>IF(Clean_Table[[#This Row],[Role]]="Attendee",1,0)</f>
        <v>1</v>
      </c>
      <c r="P99">
        <f>IF(Clean_Table[[#This Row],[Empty Cell Check]]="Missing",1,0)</f>
        <v>0</v>
      </c>
    </row>
    <row r="100" spans="1:16">
      <c r="A100" t="s">
        <v>234</v>
      </c>
      <c r="B100" t="s">
        <v>235</v>
      </c>
      <c r="C100" t="s">
        <v>96</v>
      </c>
      <c r="D100" t="s">
        <v>71</v>
      </c>
      <c r="E100" s="2" t="s">
        <v>852</v>
      </c>
      <c r="F100" t="s">
        <v>236</v>
      </c>
      <c r="G100" t="s">
        <v>810</v>
      </c>
      <c r="H100" t="s">
        <v>39</v>
      </c>
      <c r="I10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0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Brownjamie.brown738@example.comUnited KingdomWebinar: AI Ethics09:30 PM21DAttendee</v>
      </c>
      <c r="K100" t="str">
        <f>IF(COUNTIF(Clean_Table[Temp ID],Clean_Table[[#This Row],[Temp ID]])&gt;1,"Duplicate","Unique")</f>
        <v>Unique</v>
      </c>
      <c r="L100">
        <f>IF(Clean_Table[[#This Row],[Role]]="VIP",1,0)</f>
        <v>0</v>
      </c>
      <c r="M100">
        <f>IF(Clean_Table[[#This Row],[Role]]="Speaker",1,0)</f>
        <v>0</v>
      </c>
      <c r="N100">
        <f>IF(Clean_Table[[#This Row],[Role]]="Sponsor",1,0)</f>
        <v>0</v>
      </c>
      <c r="O100">
        <f>IF(Clean_Table[[#This Row],[Role]]="Attendee",1,0)</f>
        <v>1</v>
      </c>
      <c r="P100">
        <f>IF(Clean_Table[[#This Row],[Empty Cell Check]]="Missing",1,0)</f>
        <v>1</v>
      </c>
    </row>
    <row r="101" spans="1:16">
      <c r="A101" t="s">
        <v>237</v>
      </c>
      <c r="B101" t="s">
        <v>238</v>
      </c>
      <c r="C101" t="s">
        <v>810</v>
      </c>
      <c r="D101" t="s">
        <v>45</v>
      </c>
      <c r="E101" s="2" t="s">
        <v>824</v>
      </c>
      <c r="F101" t="s">
        <v>236</v>
      </c>
      <c r="G101" t="s">
        <v>31</v>
      </c>
      <c r="H101" t="s">
        <v>39</v>
      </c>
      <c r="I10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0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Jesse Halljesse.hall978@example.comKeynote: Future of Data06:00 PM21DNoneAttendee</v>
      </c>
      <c r="K101" t="str">
        <f>IF(COUNTIF(Clean_Table[Temp ID],Clean_Table[[#This Row],[Temp ID]])&gt;1,"Duplicate","Unique")</f>
        <v>Unique</v>
      </c>
      <c r="L101">
        <f>IF(Clean_Table[[#This Row],[Role]]="VIP",1,0)</f>
        <v>0</v>
      </c>
      <c r="M101">
        <f>IF(Clean_Table[[#This Row],[Role]]="Speaker",1,0)</f>
        <v>0</v>
      </c>
      <c r="N101">
        <f>IF(Clean_Table[[#This Row],[Role]]="Sponsor",1,0)</f>
        <v>0</v>
      </c>
      <c r="O101">
        <f>IF(Clean_Table[[#This Row],[Role]]="Attendee",1,0)</f>
        <v>1</v>
      </c>
      <c r="P101">
        <f>IF(Clean_Table[[#This Row],[Empty Cell Check]]="Missing",1,0)</f>
        <v>1</v>
      </c>
    </row>
    <row r="102" spans="1:16">
      <c r="A102" t="s">
        <v>239</v>
      </c>
      <c r="B102" t="s">
        <v>240</v>
      </c>
      <c r="C102" t="s">
        <v>27</v>
      </c>
      <c r="D102" t="s">
        <v>810</v>
      </c>
      <c r="E102" s="1" t="s">
        <v>814</v>
      </c>
      <c r="F102" t="s">
        <v>241</v>
      </c>
      <c r="G102" t="s">
        <v>28</v>
      </c>
      <c r="H102" t="s">
        <v>39</v>
      </c>
      <c r="I10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0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Leetaylor.lee371@example.comFrance11:00 PM22AKosherAttendee</v>
      </c>
      <c r="K102" t="str">
        <f>IF(COUNTIF(Clean_Table[Temp ID],Clean_Table[[#This Row],[Temp ID]])&gt;1,"Duplicate","Unique")</f>
        <v>Unique</v>
      </c>
      <c r="L102">
        <f>IF(Clean_Table[[#This Row],[Role]]="VIP",1,0)</f>
        <v>0</v>
      </c>
      <c r="M102">
        <f>IF(Clean_Table[[#This Row],[Role]]="Speaker",1,0)</f>
        <v>0</v>
      </c>
      <c r="N102">
        <f>IF(Clean_Table[[#This Row],[Role]]="Sponsor",1,0)</f>
        <v>0</v>
      </c>
      <c r="O102">
        <f>IF(Clean_Table[[#This Row],[Role]]="Attendee",1,0)</f>
        <v>1</v>
      </c>
      <c r="P102">
        <f>IF(Clean_Table[[#This Row],[Empty Cell Check]]="Missing",1,0)</f>
        <v>1</v>
      </c>
    </row>
    <row r="103" spans="1:16">
      <c r="A103" t="s">
        <v>242</v>
      </c>
      <c r="B103" t="s">
        <v>243</v>
      </c>
      <c r="C103" t="s">
        <v>810</v>
      </c>
      <c r="D103" t="s">
        <v>810</v>
      </c>
      <c r="E103" s="1" t="s">
        <v>822</v>
      </c>
      <c r="F103" t="s">
        <v>241</v>
      </c>
      <c r="G103" t="s">
        <v>31</v>
      </c>
      <c r="H103" t="s">
        <v>39</v>
      </c>
      <c r="I10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0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Smithmorgan.smith73@example.com04:00 AM22ANoneAttendee</v>
      </c>
      <c r="K103" t="str">
        <f>IF(COUNTIF(Clean_Table[Temp ID],Clean_Table[[#This Row],[Temp ID]])&gt;1,"Duplicate","Unique")</f>
        <v>Unique</v>
      </c>
      <c r="L103">
        <f>IF(Clean_Table[[#This Row],[Role]]="VIP",1,0)</f>
        <v>0</v>
      </c>
      <c r="M103">
        <f>IF(Clean_Table[[#This Row],[Role]]="Speaker",1,0)</f>
        <v>0</v>
      </c>
      <c r="N103">
        <f>IF(Clean_Table[[#This Row],[Role]]="Sponsor",1,0)</f>
        <v>0</v>
      </c>
      <c r="O103">
        <f>IF(Clean_Table[[#This Row],[Role]]="Attendee",1,0)</f>
        <v>1</v>
      </c>
      <c r="P103">
        <f>IF(Clean_Table[[#This Row],[Empty Cell Check]]="Missing",1,0)</f>
        <v>1</v>
      </c>
    </row>
    <row r="104" spans="1:16">
      <c r="A104" t="s">
        <v>133</v>
      </c>
      <c r="B104" t="s">
        <v>244</v>
      </c>
      <c r="C104" t="s">
        <v>37</v>
      </c>
      <c r="D104" t="s">
        <v>79</v>
      </c>
      <c r="E104" s="1" t="s">
        <v>832</v>
      </c>
      <c r="F104" t="s">
        <v>241</v>
      </c>
      <c r="G104" t="s">
        <v>810</v>
      </c>
      <c r="H104" t="s">
        <v>39</v>
      </c>
      <c r="I10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0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Walkerriley.walker327@example.comCanadaPanel: Women in Tech12:00 PM22AAttendee</v>
      </c>
      <c r="K104" t="str">
        <f>IF(COUNTIF(Clean_Table[Temp ID],Clean_Table[[#This Row],[Temp ID]])&gt;1,"Duplicate","Unique")</f>
        <v>Unique</v>
      </c>
      <c r="L104">
        <f>IF(Clean_Table[[#This Row],[Role]]="VIP",1,0)</f>
        <v>0</v>
      </c>
      <c r="M104">
        <f>IF(Clean_Table[[#This Row],[Role]]="Speaker",1,0)</f>
        <v>0</v>
      </c>
      <c r="N104">
        <f>IF(Clean_Table[[#This Row],[Role]]="Sponsor",1,0)</f>
        <v>0</v>
      </c>
      <c r="O104">
        <f>IF(Clean_Table[[#This Row],[Role]]="Attendee",1,0)</f>
        <v>1</v>
      </c>
      <c r="P104">
        <f>IF(Clean_Table[[#This Row],[Empty Cell Check]]="Missing",1,0)</f>
        <v>1</v>
      </c>
    </row>
    <row r="105" spans="1:16">
      <c r="A105" t="s">
        <v>177</v>
      </c>
      <c r="B105" t="s">
        <v>245</v>
      </c>
      <c r="C105" t="s">
        <v>112</v>
      </c>
      <c r="D105" t="s">
        <v>50</v>
      </c>
      <c r="E105" s="2" t="s">
        <v>831</v>
      </c>
      <c r="F105" t="s">
        <v>241</v>
      </c>
      <c r="G105" t="s">
        <v>28</v>
      </c>
      <c r="H105" t="s">
        <v>39</v>
      </c>
      <c r="I10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10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Brownmorgan.brown286@example.comNigeriaWorkshop: Excel Mastery06:30 PM22AKosherAttendee</v>
      </c>
      <c r="K105" t="str">
        <f>IF(COUNTIF(Clean_Table[Temp ID],Clean_Table[[#This Row],[Temp ID]])&gt;1,"Duplicate","Unique")</f>
        <v>Unique</v>
      </c>
      <c r="L105">
        <f>IF(Clean_Table[[#This Row],[Role]]="VIP",1,0)</f>
        <v>0</v>
      </c>
      <c r="M105">
        <f>IF(Clean_Table[[#This Row],[Role]]="Speaker",1,0)</f>
        <v>0</v>
      </c>
      <c r="N105">
        <f>IF(Clean_Table[[#This Row],[Role]]="Sponsor",1,0)</f>
        <v>0</v>
      </c>
      <c r="O105">
        <f>IF(Clean_Table[[#This Row],[Role]]="Attendee",1,0)</f>
        <v>1</v>
      </c>
      <c r="P105">
        <f>IF(Clean_Table[[#This Row],[Empty Cell Check]]="Missing",1,0)</f>
        <v>0</v>
      </c>
    </row>
    <row r="106" spans="1:16">
      <c r="A106" t="s">
        <v>10</v>
      </c>
      <c r="B106" t="s">
        <v>246</v>
      </c>
      <c r="C106" t="s">
        <v>96</v>
      </c>
      <c r="D106" t="s">
        <v>13</v>
      </c>
      <c r="E106" s="2" t="s">
        <v>816</v>
      </c>
      <c r="F106" t="s">
        <v>247</v>
      </c>
      <c r="G106" t="s">
        <v>91</v>
      </c>
      <c r="H106" t="s">
        <v>39</v>
      </c>
      <c r="I10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10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Jordan Smithjordan.smith306@example.comUnited KingdomTraining: Dashboard Design01:00 PM22DHalalAttendee</v>
      </c>
      <c r="K106" t="str">
        <f>IF(COUNTIF(Clean_Table[Temp ID],Clean_Table[[#This Row],[Temp ID]])&gt;1,"Duplicate","Unique")</f>
        <v>Unique</v>
      </c>
      <c r="L106">
        <f>IF(Clean_Table[[#This Row],[Role]]="VIP",1,0)</f>
        <v>0</v>
      </c>
      <c r="M106">
        <f>IF(Clean_Table[[#This Row],[Role]]="Speaker",1,0)</f>
        <v>0</v>
      </c>
      <c r="N106">
        <f>IF(Clean_Table[[#This Row],[Role]]="Sponsor",1,0)</f>
        <v>0</v>
      </c>
      <c r="O106">
        <f>IF(Clean_Table[[#This Row],[Role]]="Attendee",1,0)</f>
        <v>1</v>
      </c>
      <c r="P106">
        <f>IF(Clean_Table[[#This Row],[Empty Cell Check]]="Missing",1,0)</f>
        <v>0</v>
      </c>
    </row>
    <row r="107" spans="1:16">
      <c r="A107" t="s">
        <v>170</v>
      </c>
      <c r="B107" t="s">
        <v>248</v>
      </c>
      <c r="C107" t="s">
        <v>68</v>
      </c>
      <c r="D107" t="s">
        <v>13</v>
      </c>
      <c r="E107" s="2" t="s">
        <v>817</v>
      </c>
      <c r="F107" t="s">
        <v>247</v>
      </c>
      <c r="G107" t="s">
        <v>28</v>
      </c>
      <c r="H107" t="s">
        <v>39</v>
      </c>
      <c r="I10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10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Jordan Halljordan.hall739@example.comIndiaTraining: Dashboard Design07:30 AM22DKosherAttendee</v>
      </c>
      <c r="K107" t="str">
        <f>IF(COUNTIF(Clean_Table[Temp ID],Clean_Table[[#This Row],[Temp ID]])&gt;1,"Duplicate","Unique")</f>
        <v>Unique</v>
      </c>
      <c r="L107">
        <f>IF(Clean_Table[[#This Row],[Role]]="VIP",1,0)</f>
        <v>0</v>
      </c>
      <c r="M107">
        <f>IF(Clean_Table[[#This Row],[Role]]="Speaker",1,0)</f>
        <v>0</v>
      </c>
      <c r="N107">
        <f>IF(Clean_Table[[#This Row],[Role]]="Sponsor",1,0)</f>
        <v>0</v>
      </c>
      <c r="O107">
        <f>IF(Clean_Table[[#This Row],[Role]]="Attendee",1,0)</f>
        <v>1</v>
      </c>
      <c r="P107">
        <f>IF(Clean_Table[[#This Row],[Empty Cell Check]]="Missing",1,0)</f>
        <v>0</v>
      </c>
    </row>
    <row r="108" spans="1:16">
      <c r="A108" t="s">
        <v>61</v>
      </c>
      <c r="B108" t="s">
        <v>249</v>
      </c>
      <c r="C108" t="s">
        <v>27</v>
      </c>
      <c r="D108" t="s">
        <v>810</v>
      </c>
      <c r="E108" s="2" t="s">
        <v>820</v>
      </c>
      <c r="F108" t="s">
        <v>247</v>
      </c>
      <c r="G108" t="s">
        <v>91</v>
      </c>
      <c r="H108" t="s">
        <v>39</v>
      </c>
      <c r="I10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0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Johnsonriley.johnson347@example.comFrance08:00 PM22DHalalAttendee</v>
      </c>
      <c r="K108" t="str">
        <f>IF(COUNTIF(Clean_Table[Temp ID],Clean_Table[[#This Row],[Temp ID]])&gt;1,"Duplicate","Unique")</f>
        <v>Unique</v>
      </c>
      <c r="L108">
        <f>IF(Clean_Table[[#This Row],[Role]]="VIP",1,0)</f>
        <v>0</v>
      </c>
      <c r="M108">
        <f>IF(Clean_Table[[#This Row],[Role]]="Speaker",1,0)</f>
        <v>0</v>
      </c>
      <c r="N108">
        <f>IF(Clean_Table[[#This Row],[Role]]="Sponsor",1,0)</f>
        <v>0</v>
      </c>
      <c r="O108">
        <f>IF(Clean_Table[[#This Row],[Role]]="Attendee",1,0)</f>
        <v>1</v>
      </c>
      <c r="P108">
        <f>IF(Clean_Table[[#This Row],[Empty Cell Check]]="Missing",1,0)</f>
        <v>1</v>
      </c>
    </row>
    <row r="109" spans="1:16">
      <c r="A109" t="s">
        <v>250</v>
      </c>
      <c r="B109" t="s">
        <v>251</v>
      </c>
      <c r="C109" t="s">
        <v>78</v>
      </c>
      <c r="D109" t="s">
        <v>79</v>
      </c>
      <c r="E109" s="2" t="s">
        <v>814</v>
      </c>
      <c r="F109" t="s">
        <v>252</v>
      </c>
      <c r="G109" t="s">
        <v>91</v>
      </c>
      <c r="H109" t="s">
        <v>39</v>
      </c>
      <c r="I10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10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Smithriley.smith651@example.comAustraliaPanel: Women in Tech11:00 PM23AHalalAttendee</v>
      </c>
      <c r="K109" t="str">
        <f>IF(COUNTIF(Clean_Table[Temp ID],Clean_Table[[#This Row],[Temp ID]])&gt;1,"Duplicate","Unique")</f>
        <v>Unique</v>
      </c>
      <c r="L109">
        <f>IF(Clean_Table[[#This Row],[Role]]="VIP",1,0)</f>
        <v>0</v>
      </c>
      <c r="M109">
        <f>IF(Clean_Table[[#This Row],[Role]]="Speaker",1,0)</f>
        <v>0</v>
      </c>
      <c r="N109">
        <f>IF(Clean_Table[[#This Row],[Role]]="Sponsor",1,0)</f>
        <v>0</v>
      </c>
      <c r="O109">
        <f>IF(Clean_Table[[#This Row],[Role]]="Attendee",1,0)</f>
        <v>1</v>
      </c>
      <c r="P109">
        <f>IF(Clean_Table[[#This Row],[Empty Cell Check]]="Missing",1,0)</f>
        <v>0</v>
      </c>
    </row>
    <row r="110" spans="1:16">
      <c r="A110" t="s">
        <v>17</v>
      </c>
      <c r="B110" t="s">
        <v>253</v>
      </c>
      <c r="C110" t="s">
        <v>37</v>
      </c>
      <c r="D110" t="s">
        <v>45</v>
      </c>
      <c r="E110" s="1" t="s">
        <v>852</v>
      </c>
      <c r="F110" t="s">
        <v>252</v>
      </c>
      <c r="G110" t="s">
        <v>15</v>
      </c>
      <c r="H110" t="s">
        <v>39</v>
      </c>
      <c r="I11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11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Allenriley.allen577@example.comCanadaKeynote: Future of Data09:30 PM23AVegetarianAttendee</v>
      </c>
      <c r="K110" t="str">
        <f>IF(COUNTIF(Clean_Table[Temp ID],Clean_Table[[#This Row],[Temp ID]])&gt;1,"Duplicate","Unique")</f>
        <v>Unique</v>
      </c>
      <c r="L110">
        <f>IF(Clean_Table[[#This Row],[Role]]="VIP",1,0)</f>
        <v>0</v>
      </c>
      <c r="M110">
        <f>IF(Clean_Table[[#This Row],[Role]]="Speaker",1,0)</f>
        <v>0</v>
      </c>
      <c r="N110">
        <f>IF(Clean_Table[[#This Row],[Role]]="Sponsor",1,0)</f>
        <v>0</v>
      </c>
      <c r="O110">
        <f>IF(Clean_Table[[#This Row],[Role]]="Attendee",1,0)</f>
        <v>1</v>
      </c>
      <c r="P110">
        <f>IF(Clean_Table[[#This Row],[Empty Cell Check]]="Missing",1,0)</f>
        <v>0</v>
      </c>
    </row>
    <row r="111" spans="1:16">
      <c r="A111" t="s">
        <v>53</v>
      </c>
      <c r="B111" t="s">
        <v>254</v>
      </c>
      <c r="C111" t="s">
        <v>112</v>
      </c>
      <c r="D111" t="s">
        <v>810</v>
      </c>
      <c r="E111" s="2" t="s">
        <v>854</v>
      </c>
      <c r="F111" t="s">
        <v>252</v>
      </c>
      <c r="G111" t="s">
        <v>91</v>
      </c>
      <c r="H111" t="s">
        <v>39</v>
      </c>
      <c r="I11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1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Brownriley.brown481@example.comNigeria08:00 AM23AHalalAttendee</v>
      </c>
      <c r="K111" t="str">
        <f>IF(COUNTIF(Clean_Table[Temp ID],Clean_Table[[#This Row],[Temp ID]])&gt;1,"Duplicate","Unique")</f>
        <v>Unique</v>
      </c>
      <c r="L111">
        <f>IF(Clean_Table[[#This Row],[Role]]="VIP",1,0)</f>
        <v>0</v>
      </c>
      <c r="M111">
        <f>IF(Clean_Table[[#This Row],[Role]]="Speaker",1,0)</f>
        <v>0</v>
      </c>
      <c r="N111">
        <f>IF(Clean_Table[[#This Row],[Role]]="Sponsor",1,0)</f>
        <v>0</v>
      </c>
      <c r="O111">
        <f>IF(Clean_Table[[#This Row],[Role]]="Attendee",1,0)</f>
        <v>1</v>
      </c>
      <c r="P111">
        <f>IF(Clean_Table[[#This Row],[Empty Cell Check]]="Missing",1,0)</f>
        <v>1</v>
      </c>
    </row>
    <row r="112" spans="1:16">
      <c r="A112" t="s">
        <v>255</v>
      </c>
      <c r="B112" t="s">
        <v>256</v>
      </c>
      <c r="C112" t="s">
        <v>34</v>
      </c>
      <c r="D112" t="s">
        <v>50</v>
      </c>
      <c r="E112" s="2" t="s">
        <v>826</v>
      </c>
      <c r="F112" t="s">
        <v>252</v>
      </c>
      <c r="G112" t="s">
        <v>28</v>
      </c>
      <c r="H112" t="s">
        <v>39</v>
      </c>
      <c r="I11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11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Walkertaylor.walker296@example.comGermanyWorkshop: Excel Mastery02:00 PM23AKosherAttendee</v>
      </c>
      <c r="K112" t="str">
        <f>IF(COUNTIF(Clean_Table[Temp ID],Clean_Table[[#This Row],[Temp ID]])&gt;1,"Duplicate","Unique")</f>
        <v>Unique</v>
      </c>
      <c r="L112">
        <f>IF(Clean_Table[[#This Row],[Role]]="VIP",1,0)</f>
        <v>0</v>
      </c>
      <c r="M112">
        <f>IF(Clean_Table[[#This Row],[Role]]="Speaker",1,0)</f>
        <v>0</v>
      </c>
      <c r="N112">
        <f>IF(Clean_Table[[#This Row],[Role]]="Sponsor",1,0)</f>
        <v>0</v>
      </c>
      <c r="O112">
        <f>IF(Clean_Table[[#This Row],[Role]]="Attendee",1,0)</f>
        <v>1</v>
      </c>
      <c r="P112">
        <f>IF(Clean_Table[[#This Row],[Empty Cell Check]]="Missing",1,0)</f>
        <v>0</v>
      </c>
    </row>
    <row r="113" spans="1:16">
      <c r="A113" t="s">
        <v>257</v>
      </c>
      <c r="B113" t="s">
        <v>258</v>
      </c>
      <c r="C113" t="s">
        <v>112</v>
      </c>
      <c r="D113" t="s">
        <v>50</v>
      </c>
      <c r="E113" s="2" t="s">
        <v>831</v>
      </c>
      <c r="F113" t="s">
        <v>259</v>
      </c>
      <c r="G113" t="s">
        <v>810</v>
      </c>
      <c r="H113" t="s">
        <v>39</v>
      </c>
      <c r="I11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1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Walkerjamie.walker609@example.comNigeriaWorkshop: Excel Mastery06:30 PM23BAttendee</v>
      </c>
      <c r="K113" t="str">
        <f>IF(COUNTIF(Clean_Table[Temp ID],Clean_Table[[#This Row],[Temp ID]])&gt;1,"Duplicate","Unique")</f>
        <v>Unique</v>
      </c>
      <c r="L113">
        <f>IF(Clean_Table[[#This Row],[Role]]="VIP",1,0)</f>
        <v>0</v>
      </c>
      <c r="M113">
        <f>IF(Clean_Table[[#This Row],[Role]]="Speaker",1,0)</f>
        <v>0</v>
      </c>
      <c r="N113">
        <f>IF(Clean_Table[[#This Row],[Role]]="Sponsor",1,0)</f>
        <v>0</v>
      </c>
      <c r="O113">
        <f>IF(Clean_Table[[#This Row],[Role]]="Attendee",1,0)</f>
        <v>1</v>
      </c>
      <c r="P113">
        <f>IF(Clean_Table[[#This Row],[Empty Cell Check]]="Missing",1,0)</f>
        <v>1</v>
      </c>
    </row>
    <row r="114" spans="1:16">
      <c r="A114" t="s">
        <v>66</v>
      </c>
      <c r="B114" t="s">
        <v>260</v>
      </c>
      <c r="C114" t="s">
        <v>34</v>
      </c>
      <c r="D114" t="s">
        <v>79</v>
      </c>
      <c r="E114" s="1" t="s">
        <v>840</v>
      </c>
      <c r="F114" t="s">
        <v>259</v>
      </c>
      <c r="G114" t="s">
        <v>810</v>
      </c>
      <c r="H114" t="s">
        <v>39</v>
      </c>
      <c r="I11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1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Allencasey.allen76@example.comGermanyPanel: Women in Tech08:30 AM23BAttendee</v>
      </c>
      <c r="K114" t="str">
        <f>IF(COUNTIF(Clean_Table[Temp ID],Clean_Table[[#This Row],[Temp ID]])&gt;1,"Duplicate","Unique")</f>
        <v>Unique</v>
      </c>
      <c r="L114">
        <f>IF(Clean_Table[[#This Row],[Role]]="VIP",1,0)</f>
        <v>0</v>
      </c>
      <c r="M114">
        <f>IF(Clean_Table[[#This Row],[Role]]="Speaker",1,0)</f>
        <v>0</v>
      </c>
      <c r="N114">
        <f>IF(Clean_Table[[#This Row],[Role]]="Sponsor",1,0)</f>
        <v>0</v>
      </c>
      <c r="O114">
        <f>IF(Clean_Table[[#This Row],[Role]]="Attendee",1,0)</f>
        <v>1</v>
      </c>
      <c r="P114">
        <f>IF(Clean_Table[[#This Row],[Empty Cell Check]]="Missing",1,0)</f>
        <v>1</v>
      </c>
    </row>
    <row r="115" spans="1:16">
      <c r="A115" t="s">
        <v>140</v>
      </c>
      <c r="B115" t="s">
        <v>261</v>
      </c>
      <c r="C115" t="s">
        <v>68</v>
      </c>
      <c r="D115" t="s">
        <v>50</v>
      </c>
      <c r="E115" s="2" t="s">
        <v>833</v>
      </c>
      <c r="F115" t="s">
        <v>262</v>
      </c>
      <c r="G115" t="s">
        <v>52</v>
      </c>
      <c r="H115" t="s">
        <v>39</v>
      </c>
      <c r="I11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11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Jordan Allenjordan.allen520@example.comIndiaWorkshop: Excel Mastery07:00 AM23CVeganAttendee</v>
      </c>
      <c r="K115" t="str">
        <f>IF(COUNTIF(Clean_Table[Temp ID],Clean_Table[[#This Row],[Temp ID]])&gt;1,"Duplicate","Unique")</f>
        <v>Unique</v>
      </c>
      <c r="L115">
        <f>IF(Clean_Table[[#This Row],[Role]]="VIP",1,0)</f>
        <v>0</v>
      </c>
      <c r="M115">
        <f>IF(Clean_Table[[#This Row],[Role]]="Speaker",1,0)</f>
        <v>0</v>
      </c>
      <c r="N115">
        <f>IF(Clean_Table[[#This Row],[Role]]="Sponsor",1,0)</f>
        <v>0</v>
      </c>
      <c r="O115">
        <f>IF(Clean_Table[[#This Row],[Role]]="Attendee",1,0)</f>
        <v>1</v>
      </c>
      <c r="P115">
        <f>IF(Clean_Table[[#This Row],[Empty Cell Check]]="Missing",1,0)</f>
        <v>0</v>
      </c>
    </row>
    <row r="116" spans="1:16">
      <c r="A116" t="s">
        <v>177</v>
      </c>
      <c r="B116" t="s">
        <v>263</v>
      </c>
      <c r="C116" t="s">
        <v>27</v>
      </c>
      <c r="D116" t="s">
        <v>810</v>
      </c>
      <c r="E116" s="2" t="s">
        <v>822</v>
      </c>
      <c r="F116" t="s">
        <v>262</v>
      </c>
      <c r="G116" t="s">
        <v>810</v>
      </c>
      <c r="H116" t="s">
        <v>39</v>
      </c>
      <c r="I11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1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Brownmorgan.brown791@example.comFrance04:00 AM23CAttendee</v>
      </c>
      <c r="K116" t="str">
        <f>IF(COUNTIF(Clean_Table[Temp ID],Clean_Table[[#This Row],[Temp ID]])&gt;1,"Duplicate","Unique")</f>
        <v>Unique</v>
      </c>
      <c r="L116">
        <f>IF(Clean_Table[[#This Row],[Role]]="VIP",1,0)</f>
        <v>0</v>
      </c>
      <c r="M116">
        <f>IF(Clean_Table[[#This Row],[Role]]="Speaker",1,0)</f>
        <v>0</v>
      </c>
      <c r="N116">
        <f>IF(Clean_Table[[#This Row],[Role]]="Sponsor",1,0)</f>
        <v>0</v>
      </c>
      <c r="O116">
        <f>IF(Clean_Table[[#This Row],[Role]]="Attendee",1,0)</f>
        <v>1</v>
      </c>
      <c r="P116">
        <f>IF(Clean_Table[[#This Row],[Empty Cell Check]]="Missing",1,0)</f>
        <v>1</v>
      </c>
    </row>
    <row r="117" spans="1:16">
      <c r="A117" t="s">
        <v>108</v>
      </c>
      <c r="B117" t="s">
        <v>264</v>
      </c>
      <c r="C117" t="s">
        <v>34</v>
      </c>
      <c r="D117" t="s">
        <v>45</v>
      </c>
      <c r="E117" s="1" t="s">
        <v>839</v>
      </c>
      <c r="F117" t="s">
        <v>262</v>
      </c>
      <c r="G117" t="s">
        <v>810</v>
      </c>
      <c r="H117" t="s">
        <v>39</v>
      </c>
      <c r="I11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1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Wilsonjamie.wilson342@example.comGermanyKeynote: Future of Data09:00 AM23CAttendee</v>
      </c>
      <c r="K117" t="str">
        <f>IF(COUNTIF(Clean_Table[Temp ID],Clean_Table[[#This Row],[Temp ID]])&gt;1,"Duplicate","Unique")</f>
        <v>Unique</v>
      </c>
      <c r="L117">
        <f>IF(Clean_Table[[#This Row],[Role]]="VIP",1,0)</f>
        <v>0</v>
      </c>
      <c r="M117">
        <f>IF(Clean_Table[[#This Row],[Role]]="Speaker",1,0)</f>
        <v>0</v>
      </c>
      <c r="N117">
        <f>IF(Clean_Table[[#This Row],[Role]]="Sponsor",1,0)</f>
        <v>0</v>
      </c>
      <c r="O117">
        <f>IF(Clean_Table[[#This Row],[Role]]="Attendee",1,0)</f>
        <v>1</v>
      </c>
      <c r="P117">
        <f>IF(Clean_Table[[#This Row],[Empty Cell Check]]="Missing",1,0)</f>
        <v>1</v>
      </c>
    </row>
    <row r="118" spans="1:16">
      <c r="A118" t="s">
        <v>265</v>
      </c>
      <c r="B118" t="s">
        <v>266</v>
      </c>
      <c r="C118" t="s">
        <v>78</v>
      </c>
      <c r="D118" t="s">
        <v>13</v>
      </c>
      <c r="E118" s="1" t="s">
        <v>849</v>
      </c>
      <c r="F118" t="s">
        <v>262</v>
      </c>
      <c r="G118" t="s">
        <v>810</v>
      </c>
      <c r="H118" t="s">
        <v>39</v>
      </c>
      <c r="I11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1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Alex Wilsonalex.wilson853@example.comAustraliaTraining: Dashboard Design10:30 PM23CAttendee</v>
      </c>
      <c r="K118" t="str">
        <f>IF(COUNTIF(Clean_Table[Temp ID],Clean_Table[[#This Row],[Temp ID]])&gt;1,"Duplicate","Unique")</f>
        <v>Unique</v>
      </c>
      <c r="L118">
        <f>IF(Clean_Table[[#This Row],[Role]]="VIP",1,0)</f>
        <v>0</v>
      </c>
      <c r="M118">
        <f>IF(Clean_Table[[#This Row],[Role]]="Speaker",1,0)</f>
        <v>0</v>
      </c>
      <c r="N118">
        <f>IF(Clean_Table[[#This Row],[Role]]="Sponsor",1,0)</f>
        <v>0</v>
      </c>
      <c r="O118">
        <f>IF(Clean_Table[[#This Row],[Role]]="Attendee",1,0)</f>
        <v>1</v>
      </c>
      <c r="P118">
        <f>IF(Clean_Table[[#This Row],[Empty Cell Check]]="Missing",1,0)</f>
        <v>1</v>
      </c>
    </row>
    <row r="119" spans="1:16">
      <c r="A119" t="s">
        <v>25</v>
      </c>
      <c r="B119" t="s">
        <v>267</v>
      </c>
      <c r="C119" t="s">
        <v>101</v>
      </c>
      <c r="D119" t="s">
        <v>71</v>
      </c>
      <c r="E119" s="2" t="s">
        <v>855</v>
      </c>
      <c r="F119" t="s">
        <v>268</v>
      </c>
      <c r="G119" t="s">
        <v>91</v>
      </c>
      <c r="H119" t="s">
        <v>39</v>
      </c>
      <c r="I11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11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Jesse Clarkjesse.clark485@example.comJapanWebinar: AI Ethics01:30 PM23DHalalAttendee</v>
      </c>
      <c r="K119" t="str">
        <f>IF(COUNTIF(Clean_Table[Temp ID],Clean_Table[[#This Row],[Temp ID]])&gt;1,"Duplicate","Unique")</f>
        <v>Unique</v>
      </c>
      <c r="L119">
        <f>IF(Clean_Table[[#This Row],[Role]]="VIP",1,0)</f>
        <v>0</v>
      </c>
      <c r="M119">
        <f>IF(Clean_Table[[#This Row],[Role]]="Speaker",1,0)</f>
        <v>0</v>
      </c>
      <c r="N119">
        <f>IF(Clean_Table[[#This Row],[Role]]="Sponsor",1,0)</f>
        <v>0</v>
      </c>
      <c r="O119">
        <f>IF(Clean_Table[[#This Row],[Role]]="Attendee",1,0)</f>
        <v>1</v>
      </c>
      <c r="P119">
        <f>IF(Clean_Table[[#This Row],[Empty Cell Check]]="Missing",1,0)</f>
        <v>0</v>
      </c>
    </row>
    <row r="120" spans="1:16">
      <c r="A120" t="s">
        <v>269</v>
      </c>
      <c r="B120" t="s">
        <v>270</v>
      </c>
      <c r="C120" t="s">
        <v>112</v>
      </c>
      <c r="D120" t="s">
        <v>13</v>
      </c>
      <c r="E120" s="2" t="s">
        <v>856</v>
      </c>
      <c r="F120" t="s">
        <v>268</v>
      </c>
      <c r="G120" t="s">
        <v>52</v>
      </c>
      <c r="H120" t="s">
        <v>39</v>
      </c>
      <c r="I12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12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Walkercasey.walker622@example.comNigeriaTraining: Dashboard Design06:00 AM23DVeganAttendee</v>
      </c>
      <c r="K120" t="str">
        <f>IF(COUNTIF(Clean_Table[Temp ID],Clean_Table[[#This Row],[Temp ID]])&gt;1,"Duplicate","Unique")</f>
        <v>Unique</v>
      </c>
      <c r="L120">
        <f>IF(Clean_Table[[#This Row],[Role]]="VIP",1,0)</f>
        <v>0</v>
      </c>
      <c r="M120">
        <f>IF(Clean_Table[[#This Row],[Role]]="Speaker",1,0)</f>
        <v>0</v>
      </c>
      <c r="N120">
        <f>IF(Clean_Table[[#This Row],[Role]]="Sponsor",1,0)</f>
        <v>0</v>
      </c>
      <c r="O120">
        <f>IF(Clean_Table[[#This Row],[Role]]="Attendee",1,0)</f>
        <v>1</v>
      </c>
      <c r="P120">
        <f>IF(Clean_Table[[#This Row],[Empty Cell Check]]="Missing",1,0)</f>
        <v>0</v>
      </c>
    </row>
    <row r="121" spans="1:16">
      <c r="A121" t="s">
        <v>61</v>
      </c>
      <c r="B121" t="s">
        <v>271</v>
      </c>
      <c r="C121" t="s">
        <v>96</v>
      </c>
      <c r="D121" t="s">
        <v>71</v>
      </c>
      <c r="E121" s="1" t="s">
        <v>836</v>
      </c>
      <c r="F121" t="s">
        <v>268</v>
      </c>
      <c r="G121" t="s">
        <v>810</v>
      </c>
      <c r="H121" t="s">
        <v>39</v>
      </c>
      <c r="I12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2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Johnsonriley.johnson232@example.comUnited KingdomWebinar: AI Ethics03:00 PM23DAttendee</v>
      </c>
      <c r="K121" t="str">
        <f>IF(COUNTIF(Clean_Table[Temp ID],Clean_Table[[#This Row],[Temp ID]])&gt;1,"Duplicate","Unique")</f>
        <v>Unique</v>
      </c>
      <c r="L121">
        <f>IF(Clean_Table[[#This Row],[Role]]="VIP",1,0)</f>
        <v>0</v>
      </c>
      <c r="M121">
        <f>IF(Clean_Table[[#This Row],[Role]]="Speaker",1,0)</f>
        <v>0</v>
      </c>
      <c r="N121">
        <f>IF(Clean_Table[[#This Row],[Role]]="Sponsor",1,0)</f>
        <v>0</v>
      </c>
      <c r="O121">
        <f>IF(Clean_Table[[#This Row],[Role]]="Attendee",1,0)</f>
        <v>1</v>
      </c>
      <c r="P121">
        <f>IF(Clean_Table[[#This Row],[Empty Cell Check]]="Missing",1,0)</f>
        <v>1</v>
      </c>
    </row>
    <row r="122" spans="1:16">
      <c r="A122" t="s">
        <v>168</v>
      </c>
      <c r="B122" t="s">
        <v>272</v>
      </c>
      <c r="C122" t="s">
        <v>27</v>
      </c>
      <c r="D122" t="s">
        <v>810</v>
      </c>
      <c r="E122" s="2" t="s">
        <v>823</v>
      </c>
      <c r="F122" t="s">
        <v>268</v>
      </c>
      <c r="G122" t="s">
        <v>52</v>
      </c>
      <c r="H122" t="s">
        <v>39</v>
      </c>
      <c r="I12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2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Chris Johnsonchris.johnson457@example.comFrance05:30 AM23DVeganAttendee</v>
      </c>
      <c r="K122" t="str">
        <f>IF(COUNTIF(Clean_Table[Temp ID],Clean_Table[[#This Row],[Temp ID]])&gt;1,"Duplicate","Unique")</f>
        <v>Unique</v>
      </c>
      <c r="L122">
        <f>IF(Clean_Table[[#This Row],[Role]]="VIP",1,0)</f>
        <v>0</v>
      </c>
      <c r="M122">
        <f>IF(Clean_Table[[#This Row],[Role]]="Speaker",1,0)</f>
        <v>0</v>
      </c>
      <c r="N122">
        <f>IF(Clean_Table[[#This Row],[Role]]="Sponsor",1,0)</f>
        <v>0</v>
      </c>
      <c r="O122">
        <f>IF(Clean_Table[[#This Row],[Role]]="Attendee",1,0)</f>
        <v>1</v>
      </c>
      <c r="P122">
        <f>IF(Clean_Table[[#This Row],[Empty Cell Check]]="Missing",1,0)</f>
        <v>1</v>
      </c>
    </row>
    <row r="123" spans="1:16">
      <c r="A123" t="s">
        <v>110</v>
      </c>
      <c r="B123" t="s">
        <v>273</v>
      </c>
      <c r="C123" t="s">
        <v>96</v>
      </c>
      <c r="D123" t="s">
        <v>79</v>
      </c>
      <c r="E123" s="2" t="s">
        <v>843</v>
      </c>
      <c r="F123" t="s">
        <v>268</v>
      </c>
      <c r="G123" t="s">
        <v>52</v>
      </c>
      <c r="H123" t="s">
        <v>39</v>
      </c>
      <c r="I12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12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Jordan Leejordan.lee357@example.comUnited KingdomPanel: Women in Tech06:30 AM23DVeganAttendee</v>
      </c>
      <c r="K123" t="str">
        <f>IF(COUNTIF(Clean_Table[Temp ID],Clean_Table[[#This Row],[Temp ID]])&gt;1,"Duplicate","Unique")</f>
        <v>Unique</v>
      </c>
      <c r="L123">
        <f>IF(Clean_Table[[#This Row],[Role]]="VIP",1,0)</f>
        <v>0</v>
      </c>
      <c r="M123">
        <f>IF(Clean_Table[[#This Row],[Role]]="Speaker",1,0)</f>
        <v>0</v>
      </c>
      <c r="N123">
        <f>IF(Clean_Table[[#This Row],[Role]]="Sponsor",1,0)</f>
        <v>0</v>
      </c>
      <c r="O123">
        <f>IF(Clean_Table[[#This Row],[Role]]="Attendee",1,0)</f>
        <v>1</v>
      </c>
      <c r="P123">
        <f>IF(Clean_Table[[#This Row],[Empty Cell Check]]="Missing",1,0)</f>
        <v>0</v>
      </c>
    </row>
    <row r="124" spans="1:16">
      <c r="A124" t="s">
        <v>274</v>
      </c>
      <c r="B124" t="s">
        <v>275</v>
      </c>
      <c r="C124" t="s">
        <v>12</v>
      </c>
      <c r="D124" t="s">
        <v>810</v>
      </c>
      <c r="E124" s="2" t="s">
        <v>856</v>
      </c>
      <c r="F124" t="s">
        <v>268</v>
      </c>
      <c r="G124" t="s">
        <v>52</v>
      </c>
      <c r="H124" t="s">
        <v>39</v>
      </c>
      <c r="I12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2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Chris Leechris.lee860@example.comUnited States06:00 AM23DVeganAttendee</v>
      </c>
      <c r="K124" t="str">
        <f>IF(COUNTIF(Clean_Table[Temp ID],Clean_Table[[#This Row],[Temp ID]])&gt;1,"Duplicate","Unique")</f>
        <v>Unique</v>
      </c>
      <c r="L124">
        <f>IF(Clean_Table[[#This Row],[Role]]="VIP",1,0)</f>
        <v>0</v>
      </c>
      <c r="M124">
        <f>IF(Clean_Table[[#This Row],[Role]]="Speaker",1,0)</f>
        <v>0</v>
      </c>
      <c r="N124">
        <f>IF(Clean_Table[[#This Row],[Role]]="Sponsor",1,0)</f>
        <v>0</v>
      </c>
      <c r="O124">
        <f>IF(Clean_Table[[#This Row],[Role]]="Attendee",1,0)</f>
        <v>1</v>
      </c>
      <c r="P124">
        <f>IF(Clean_Table[[#This Row],[Empty Cell Check]]="Missing",1,0)</f>
        <v>1</v>
      </c>
    </row>
    <row r="125" spans="1:16">
      <c r="A125" t="s">
        <v>188</v>
      </c>
      <c r="B125" t="s">
        <v>276</v>
      </c>
      <c r="C125" t="s">
        <v>101</v>
      </c>
      <c r="D125" t="s">
        <v>810</v>
      </c>
      <c r="E125" s="2" t="s">
        <v>822</v>
      </c>
      <c r="F125" t="s">
        <v>277</v>
      </c>
      <c r="G125" t="s">
        <v>28</v>
      </c>
      <c r="H125" t="s">
        <v>39</v>
      </c>
      <c r="I12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2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Alex Lewisalex.lewis586@example.comJapan04:00 AM24AKosherAttendee</v>
      </c>
      <c r="K125" t="str">
        <f>IF(COUNTIF(Clean_Table[Temp ID],Clean_Table[[#This Row],[Temp ID]])&gt;1,"Duplicate","Unique")</f>
        <v>Unique</v>
      </c>
      <c r="L125">
        <f>IF(Clean_Table[[#This Row],[Role]]="VIP",1,0)</f>
        <v>0</v>
      </c>
      <c r="M125">
        <f>IF(Clean_Table[[#This Row],[Role]]="Speaker",1,0)</f>
        <v>0</v>
      </c>
      <c r="N125">
        <f>IF(Clean_Table[[#This Row],[Role]]="Sponsor",1,0)</f>
        <v>0</v>
      </c>
      <c r="O125">
        <f>IF(Clean_Table[[#This Row],[Role]]="Attendee",1,0)</f>
        <v>1</v>
      </c>
      <c r="P125">
        <f>IF(Clean_Table[[#This Row],[Empty Cell Check]]="Missing",1,0)</f>
        <v>1</v>
      </c>
    </row>
    <row r="126" spans="1:16">
      <c r="A126" t="s">
        <v>35</v>
      </c>
      <c r="B126" t="s">
        <v>278</v>
      </c>
      <c r="C126" t="s">
        <v>55</v>
      </c>
      <c r="D126" t="s">
        <v>71</v>
      </c>
      <c r="E126" s="1" t="s">
        <v>846</v>
      </c>
      <c r="F126" t="s">
        <v>277</v>
      </c>
      <c r="G126" t="s">
        <v>91</v>
      </c>
      <c r="H126" t="s">
        <v>39</v>
      </c>
      <c r="I12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12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Halltaylor.hall37@example.comBrazilWebinar: AI Ethics07:00 PM24AHalalAttendee</v>
      </c>
      <c r="K126" t="str">
        <f>IF(COUNTIF(Clean_Table[Temp ID],Clean_Table[[#This Row],[Temp ID]])&gt;1,"Duplicate","Unique")</f>
        <v>Unique</v>
      </c>
      <c r="L126">
        <f>IF(Clean_Table[[#This Row],[Role]]="VIP",1,0)</f>
        <v>0</v>
      </c>
      <c r="M126">
        <f>IF(Clean_Table[[#This Row],[Role]]="Speaker",1,0)</f>
        <v>0</v>
      </c>
      <c r="N126">
        <f>IF(Clean_Table[[#This Row],[Role]]="Sponsor",1,0)</f>
        <v>0</v>
      </c>
      <c r="O126">
        <f>IF(Clean_Table[[#This Row],[Role]]="Attendee",1,0)</f>
        <v>1</v>
      </c>
      <c r="P126">
        <f>IF(Clean_Table[[#This Row],[Empty Cell Check]]="Missing",1,0)</f>
        <v>0</v>
      </c>
    </row>
    <row r="127" spans="1:16">
      <c r="A127" t="s">
        <v>138</v>
      </c>
      <c r="B127" t="s">
        <v>279</v>
      </c>
      <c r="C127" t="s">
        <v>34</v>
      </c>
      <c r="D127" t="s">
        <v>79</v>
      </c>
      <c r="E127" s="1" t="s">
        <v>828</v>
      </c>
      <c r="F127" t="s">
        <v>280</v>
      </c>
      <c r="G127" t="s">
        <v>31</v>
      </c>
      <c r="H127" t="s">
        <v>39</v>
      </c>
      <c r="I12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12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Jesse Brownjesse.brown689@example.comGermanyPanel: Women in Tech04:30 PM24BNoneAttendee</v>
      </c>
      <c r="K127" t="str">
        <f>IF(COUNTIF(Clean_Table[Temp ID],Clean_Table[[#This Row],[Temp ID]])&gt;1,"Duplicate","Unique")</f>
        <v>Unique</v>
      </c>
      <c r="L127">
        <f>IF(Clean_Table[[#This Row],[Role]]="VIP",1,0)</f>
        <v>0</v>
      </c>
      <c r="M127">
        <f>IF(Clean_Table[[#This Row],[Role]]="Speaker",1,0)</f>
        <v>0</v>
      </c>
      <c r="N127">
        <f>IF(Clean_Table[[#This Row],[Role]]="Sponsor",1,0)</f>
        <v>0</v>
      </c>
      <c r="O127">
        <f>IF(Clean_Table[[#This Row],[Role]]="Attendee",1,0)</f>
        <v>1</v>
      </c>
      <c r="P127">
        <f>IF(Clean_Table[[#This Row],[Empty Cell Check]]="Missing",1,0)</f>
        <v>0</v>
      </c>
    </row>
    <row r="128" spans="1:16">
      <c r="A128" t="s">
        <v>211</v>
      </c>
      <c r="B128" t="s">
        <v>281</v>
      </c>
      <c r="C128" t="s">
        <v>68</v>
      </c>
      <c r="D128" t="s">
        <v>810</v>
      </c>
      <c r="E128" s="1" t="s">
        <v>847</v>
      </c>
      <c r="F128" t="s">
        <v>280</v>
      </c>
      <c r="G128" t="s">
        <v>91</v>
      </c>
      <c r="H128" t="s">
        <v>21</v>
      </c>
      <c r="I12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2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Johnsonmorgan.johnson82@example.comIndia07:30 PM24BHalalSpeaker</v>
      </c>
      <c r="K128" t="str">
        <f>IF(COUNTIF(Clean_Table[Temp ID],Clean_Table[[#This Row],[Temp ID]])&gt;1,"Duplicate","Unique")</f>
        <v>Unique</v>
      </c>
      <c r="L128">
        <f>IF(Clean_Table[[#This Row],[Role]]="VIP",1,0)</f>
        <v>0</v>
      </c>
      <c r="M128">
        <f>IF(Clean_Table[[#This Row],[Role]]="Speaker",1,0)</f>
        <v>1</v>
      </c>
      <c r="N128">
        <f>IF(Clean_Table[[#This Row],[Role]]="Sponsor",1,0)</f>
        <v>0</v>
      </c>
      <c r="O128">
        <f>IF(Clean_Table[[#This Row],[Role]]="Attendee",1,0)</f>
        <v>0</v>
      </c>
      <c r="P128">
        <f>IF(Clean_Table[[#This Row],[Empty Cell Check]]="Missing",1,0)</f>
        <v>1</v>
      </c>
    </row>
    <row r="129" spans="1:16">
      <c r="A129" t="s">
        <v>59</v>
      </c>
      <c r="B129" t="s">
        <v>282</v>
      </c>
      <c r="C129" t="s">
        <v>34</v>
      </c>
      <c r="D129" t="s">
        <v>810</v>
      </c>
      <c r="E129" s="1" t="s">
        <v>815</v>
      </c>
      <c r="F129" t="s">
        <v>280</v>
      </c>
      <c r="G129" t="s">
        <v>28</v>
      </c>
      <c r="H129" t="s">
        <v>39</v>
      </c>
      <c r="I12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2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Leecasey.lee167@example.comGermany12:30 PM24BKosherAttendee</v>
      </c>
      <c r="K129" t="str">
        <f>IF(COUNTIF(Clean_Table[Temp ID],Clean_Table[[#This Row],[Temp ID]])&gt;1,"Duplicate","Unique")</f>
        <v>Unique</v>
      </c>
      <c r="L129">
        <f>IF(Clean_Table[[#This Row],[Role]]="VIP",1,0)</f>
        <v>0</v>
      </c>
      <c r="M129">
        <f>IF(Clean_Table[[#This Row],[Role]]="Speaker",1,0)</f>
        <v>0</v>
      </c>
      <c r="N129">
        <f>IF(Clean_Table[[#This Row],[Role]]="Sponsor",1,0)</f>
        <v>0</v>
      </c>
      <c r="O129">
        <f>IF(Clean_Table[[#This Row],[Role]]="Attendee",1,0)</f>
        <v>1</v>
      </c>
      <c r="P129">
        <f>IF(Clean_Table[[#This Row],[Empty Cell Check]]="Missing",1,0)</f>
        <v>1</v>
      </c>
    </row>
    <row r="130" spans="1:16">
      <c r="A130" t="s">
        <v>180</v>
      </c>
      <c r="B130" t="s">
        <v>283</v>
      </c>
      <c r="C130" t="s">
        <v>112</v>
      </c>
      <c r="D130" t="s">
        <v>45</v>
      </c>
      <c r="E130" s="1" t="s">
        <v>844</v>
      </c>
      <c r="F130" t="s">
        <v>284</v>
      </c>
      <c r="G130" t="s">
        <v>28</v>
      </c>
      <c r="H130" t="s">
        <v>39</v>
      </c>
      <c r="I13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13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Allentaylor.allen695@example.comNigeriaKeynote: Future of Data02:00 AM24CKosherAttendee</v>
      </c>
      <c r="K130" t="str">
        <f>IF(COUNTIF(Clean_Table[Temp ID],Clean_Table[[#This Row],[Temp ID]])&gt;1,"Duplicate","Unique")</f>
        <v>Unique</v>
      </c>
      <c r="L130">
        <f>IF(Clean_Table[[#This Row],[Role]]="VIP",1,0)</f>
        <v>0</v>
      </c>
      <c r="M130">
        <f>IF(Clean_Table[[#This Row],[Role]]="Speaker",1,0)</f>
        <v>0</v>
      </c>
      <c r="N130">
        <f>IF(Clean_Table[[#This Row],[Role]]="Sponsor",1,0)</f>
        <v>0</v>
      </c>
      <c r="O130">
        <f>IF(Clean_Table[[#This Row],[Role]]="Attendee",1,0)</f>
        <v>1</v>
      </c>
      <c r="P130">
        <f>IF(Clean_Table[[#This Row],[Empty Cell Check]]="Missing",1,0)</f>
        <v>0</v>
      </c>
    </row>
    <row r="131" spans="1:16">
      <c r="A131" t="s">
        <v>239</v>
      </c>
      <c r="B131" t="s">
        <v>285</v>
      </c>
      <c r="C131" t="s">
        <v>55</v>
      </c>
      <c r="D131" t="s">
        <v>13</v>
      </c>
      <c r="E131" s="2" t="s">
        <v>814</v>
      </c>
      <c r="F131" t="s">
        <v>284</v>
      </c>
      <c r="G131" t="s">
        <v>15</v>
      </c>
      <c r="H131" t="s">
        <v>39</v>
      </c>
      <c r="I13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13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Leetaylor.lee337@example.comBrazilTraining: Dashboard Design11:00 PM24CVegetarianAttendee</v>
      </c>
      <c r="K131" t="str">
        <f>IF(COUNTIF(Clean_Table[Temp ID],Clean_Table[[#This Row],[Temp ID]])&gt;1,"Duplicate","Unique")</f>
        <v>Unique</v>
      </c>
      <c r="L131">
        <f>IF(Clean_Table[[#This Row],[Role]]="VIP",1,0)</f>
        <v>0</v>
      </c>
      <c r="M131">
        <f>IF(Clean_Table[[#This Row],[Role]]="Speaker",1,0)</f>
        <v>0</v>
      </c>
      <c r="N131">
        <f>IF(Clean_Table[[#This Row],[Role]]="Sponsor",1,0)</f>
        <v>0</v>
      </c>
      <c r="O131">
        <f>IF(Clean_Table[[#This Row],[Role]]="Attendee",1,0)</f>
        <v>1</v>
      </c>
      <c r="P131">
        <f>IF(Clean_Table[[#This Row],[Empty Cell Check]]="Missing",1,0)</f>
        <v>0</v>
      </c>
    </row>
    <row r="132" spans="1:16">
      <c r="A132" t="s">
        <v>265</v>
      </c>
      <c r="B132" t="s">
        <v>286</v>
      </c>
      <c r="C132" t="s">
        <v>55</v>
      </c>
      <c r="D132" t="s">
        <v>810</v>
      </c>
      <c r="E132" s="1" t="s">
        <v>848</v>
      </c>
      <c r="F132" t="s">
        <v>287</v>
      </c>
      <c r="G132" t="s">
        <v>28</v>
      </c>
      <c r="H132" t="s">
        <v>39</v>
      </c>
      <c r="I13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3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Alex Wilsonalex.wilson293@example.comBrazil11:30 PM24DKosherAttendee</v>
      </c>
      <c r="K132" t="str">
        <f>IF(COUNTIF(Clean_Table[Temp ID],Clean_Table[[#This Row],[Temp ID]])&gt;1,"Duplicate","Unique")</f>
        <v>Unique</v>
      </c>
      <c r="L132">
        <f>IF(Clean_Table[[#This Row],[Role]]="VIP",1,0)</f>
        <v>0</v>
      </c>
      <c r="M132">
        <f>IF(Clean_Table[[#This Row],[Role]]="Speaker",1,0)</f>
        <v>0</v>
      </c>
      <c r="N132">
        <f>IF(Clean_Table[[#This Row],[Role]]="Sponsor",1,0)</f>
        <v>0</v>
      </c>
      <c r="O132">
        <f>IF(Clean_Table[[#This Row],[Role]]="Attendee",1,0)</f>
        <v>1</v>
      </c>
      <c r="P132">
        <f>IF(Clean_Table[[#This Row],[Empty Cell Check]]="Missing",1,0)</f>
        <v>1</v>
      </c>
    </row>
    <row r="133" spans="1:16">
      <c r="A133" t="s">
        <v>288</v>
      </c>
      <c r="B133" t="s">
        <v>289</v>
      </c>
      <c r="C133" t="s">
        <v>37</v>
      </c>
      <c r="D133" t="s">
        <v>45</v>
      </c>
      <c r="E133" s="1" t="s">
        <v>857</v>
      </c>
      <c r="F133" t="s">
        <v>287</v>
      </c>
      <c r="G133" t="s">
        <v>31</v>
      </c>
      <c r="H133" t="s">
        <v>39</v>
      </c>
      <c r="I13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13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Alex Johnsonalex.johnson505@example.comCanadaKeynote: Future of Data09:00 PM24DNoneAttendee</v>
      </c>
      <c r="K133" t="str">
        <f>IF(COUNTIF(Clean_Table[Temp ID],Clean_Table[[#This Row],[Temp ID]])&gt;1,"Duplicate","Unique")</f>
        <v>Unique</v>
      </c>
      <c r="L133">
        <f>IF(Clean_Table[[#This Row],[Role]]="VIP",1,0)</f>
        <v>0</v>
      </c>
      <c r="M133">
        <f>IF(Clean_Table[[#This Row],[Role]]="Speaker",1,0)</f>
        <v>0</v>
      </c>
      <c r="N133">
        <f>IF(Clean_Table[[#This Row],[Role]]="Sponsor",1,0)</f>
        <v>0</v>
      </c>
      <c r="O133">
        <f>IF(Clean_Table[[#This Row],[Role]]="Attendee",1,0)</f>
        <v>1</v>
      </c>
      <c r="P133">
        <f>IF(Clean_Table[[#This Row],[Empty Cell Check]]="Missing",1,0)</f>
        <v>0</v>
      </c>
    </row>
    <row r="134" spans="1:16">
      <c r="A134" t="s">
        <v>127</v>
      </c>
      <c r="B134" t="s">
        <v>290</v>
      </c>
      <c r="C134" t="s">
        <v>37</v>
      </c>
      <c r="D134" t="s">
        <v>810</v>
      </c>
      <c r="E134" s="1" t="s">
        <v>817</v>
      </c>
      <c r="F134" t="s">
        <v>287</v>
      </c>
      <c r="G134" t="s">
        <v>28</v>
      </c>
      <c r="H134" t="s">
        <v>39</v>
      </c>
      <c r="I13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3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Lewiscasey.lewis463@example.comCanada07:30 AM24DKosherAttendee</v>
      </c>
      <c r="K134" t="str">
        <f>IF(COUNTIF(Clean_Table[Temp ID],Clean_Table[[#This Row],[Temp ID]])&gt;1,"Duplicate","Unique")</f>
        <v>Unique</v>
      </c>
      <c r="L134">
        <f>IF(Clean_Table[[#This Row],[Role]]="VIP",1,0)</f>
        <v>0</v>
      </c>
      <c r="M134">
        <f>IF(Clean_Table[[#This Row],[Role]]="Speaker",1,0)</f>
        <v>0</v>
      </c>
      <c r="N134">
        <f>IF(Clean_Table[[#This Row],[Role]]="Sponsor",1,0)</f>
        <v>0</v>
      </c>
      <c r="O134">
        <f>IF(Clean_Table[[#This Row],[Role]]="Attendee",1,0)</f>
        <v>1</v>
      </c>
      <c r="P134">
        <f>IF(Clean_Table[[#This Row],[Empty Cell Check]]="Missing",1,0)</f>
        <v>1</v>
      </c>
    </row>
    <row r="135" spans="1:16">
      <c r="A135" t="s">
        <v>127</v>
      </c>
      <c r="B135" t="s">
        <v>291</v>
      </c>
      <c r="C135" t="s">
        <v>810</v>
      </c>
      <c r="D135" t="s">
        <v>13</v>
      </c>
      <c r="E135" s="2" t="s">
        <v>825</v>
      </c>
      <c r="F135" t="s">
        <v>292</v>
      </c>
      <c r="G135" t="s">
        <v>31</v>
      </c>
      <c r="H135" t="s">
        <v>39</v>
      </c>
      <c r="I13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3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Lewiscasey.lewis462@example.comTraining: Dashboard Design10:00 AM25ANoneAttendee</v>
      </c>
      <c r="K135" t="str">
        <f>IF(COUNTIF(Clean_Table[Temp ID],Clean_Table[[#This Row],[Temp ID]])&gt;1,"Duplicate","Unique")</f>
        <v>Unique</v>
      </c>
      <c r="L135">
        <f>IF(Clean_Table[[#This Row],[Role]]="VIP",1,0)</f>
        <v>0</v>
      </c>
      <c r="M135">
        <f>IF(Clean_Table[[#This Row],[Role]]="Speaker",1,0)</f>
        <v>0</v>
      </c>
      <c r="N135">
        <f>IF(Clean_Table[[#This Row],[Role]]="Sponsor",1,0)</f>
        <v>0</v>
      </c>
      <c r="O135">
        <f>IF(Clean_Table[[#This Row],[Role]]="Attendee",1,0)</f>
        <v>1</v>
      </c>
      <c r="P135">
        <f>IF(Clean_Table[[#This Row],[Empty Cell Check]]="Missing",1,0)</f>
        <v>1</v>
      </c>
    </row>
    <row r="136" spans="1:16">
      <c r="A136" t="s">
        <v>81</v>
      </c>
      <c r="B136" t="s">
        <v>293</v>
      </c>
      <c r="C136" t="s">
        <v>810</v>
      </c>
      <c r="D136" t="s">
        <v>13</v>
      </c>
      <c r="E136" s="2" t="s">
        <v>827</v>
      </c>
      <c r="F136" t="s">
        <v>294</v>
      </c>
      <c r="G136" t="s">
        <v>810</v>
      </c>
      <c r="H136" t="s">
        <v>39</v>
      </c>
      <c r="I13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3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Hallcasey.hall327@example.comTraining: Dashboard Design04:30 AM25BAttendee</v>
      </c>
      <c r="K136" t="str">
        <f>IF(COUNTIF(Clean_Table[Temp ID],Clean_Table[[#This Row],[Temp ID]])&gt;1,"Duplicate","Unique")</f>
        <v>Unique</v>
      </c>
      <c r="L136">
        <f>IF(Clean_Table[[#This Row],[Role]]="VIP",1,0)</f>
        <v>0</v>
      </c>
      <c r="M136">
        <f>IF(Clean_Table[[#This Row],[Role]]="Speaker",1,0)</f>
        <v>0</v>
      </c>
      <c r="N136">
        <f>IF(Clean_Table[[#This Row],[Role]]="Sponsor",1,0)</f>
        <v>0</v>
      </c>
      <c r="O136">
        <f>IF(Clean_Table[[#This Row],[Role]]="Attendee",1,0)</f>
        <v>1</v>
      </c>
      <c r="P136">
        <f>IF(Clean_Table[[#This Row],[Empty Cell Check]]="Missing",1,0)</f>
        <v>1</v>
      </c>
    </row>
    <row r="137" spans="1:16">
      <c r="A137" t="s">
        <v>121</v>
      </c>
      <c r="B137" t="s">
        <v>295</v>
      </c>
      <c r="C137" t="s">
        <v>810</v>
      </c>
      <c r="D137" t="s">
        <v>810</v>
      </c>
      <c r="E137" s="2" t="s">
        <v>816</v>
      </c>
      <c r="F137" t="s">
        <v>294</v>
      </c>
      <c r="G137" t="s">
        <v>91</v>
      </c>
      <c r="H137" t="s">
        <v>39</v>
      </c>
      <c r="I13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3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Jesse Lewisjesse.lewis354@example.com01:00 PM25BHalalAttendee</v>
      </c>
      <c r="K137" t="str">
        <f>IF(COUNTIF(Clean_Table[Temp ID],Clean_Table[[#This Row],[Temp ID]])&gt;1,"Duplicate","Unique")</f>
        <v>Unique</v>
      </c>
      <c r="L137">
        <f>IF(Clean_Table[[#This Row],[Role]]="VIP",1,0)</f>
        <v>0</v>
      </c>
      <c r="M137">
        <f>IF(Clean_Table[[#This Row],[Role]]="Speaker",1,0)</f>
        <v>0</v>
      </c>
      <c r="N137">
        <f>IF(Clean_Table[[#This Row],[Role]]="Sponsor",1,0)</f>
        <v>0</v>
      </c>
      <c r="O137">
        <f>IF(Clean_Table[[#This Row],[Role]]="Attendee",1,0)</f>
        <v>1</v>
      </c>
      <c r="P137">
        <f>IF(Clean_Table[[#This Row],[Empty Cell Check]]="Missing",1,0)</f>
        <v>1</v>
      </c>
    </row>
    <row r="138" spans="1:16">
      <c r="A138" t="s">
        <v>265</v>
      </c>
      <c r="B138" t="s">
        <v>296</v>
      </c>
      <c r="C138" t="s">
        <v>810</v>
      </c>
      <c r="D138" t="s">
        <v>79</v>
      </c>
      <c r="E138" s="2" t="s">
        <v>822</v>
      </c>
      <c r="F138" t="s">
        <v>297</v>
      </c>
      <c r="G138" t="s">
        <v>15</v>
      </c>
      <c r="H138" t="s">
        <v>39</v>
      </c>
      <c r="I13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3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Alex Wilsonalex.wilson232@example.comPanel: Women in Tech04:00 AM25CVegetarianAttendee</v>
      </c>
      <c r="K138" t="str">
        <f>IF(COUNTIF(Clean_Table[Temp ID],Clean_Table[[#This Row],[Temp ID]])&gt;1,"Duplicate","Unique")</f>
        <v>Unique</v>
      </c>
      <c r="L138">
        <f>IF(Clean_Table[[#This Row],[Role]]="VIP",1,0)</f>
        <v>0</v>
      </c>
      <c r="M138">
        <f>IF(Clean_Table[[#This Row],[Role]]="Speaker",1,0)</f>
        <v>0</v>
      </c>
      <c r="N138">
        <f>IF(Clean_Table[[#This Row],[Role]]="Sponsor",1,0)</f>
        <v>0</v>
      </c>
      <c r="O138">
        <f>IF(Clean_Table[[#This Row],[Role]]="Attendee",1,0)</f>
        <v>1</v>
      </c>
      <c r="P138">
        <f>IF(Clean_Table[[#This Row],[Empty Cell Check]]="Missing",1,0)</f>
        <v>1</v>
      </c>
    </row>
    <row r="139" spans="1:16">
      <c r="A139" t="s">
        <v>183</v>
      </c>
      <c r="B139" t="s">
        <v>298</v>
      </c>
      <c r="C139" t="s">
        <v>101</v>
      </c>
      <c r="D139" t="s">
        <v>71</v>
      </c>
      <c r="E139" s="1" t="s">
        <v>843</v>
      </c>
      <c r="F139" t="s">
        <v>299</v>
      </c>
      <c r="G139" t="s">
        <v>810</v>
      </c>
      <c r="H139" t="s">
        <v>39</v>
      </c>
      <c r="I13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3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Walkermorgan.walker450@example.comJapanWebinar: AI Ethics06:30 AM25DAttendee</v>
      </c>
      <c r="K139" t="str">
        <f>IF(COUNTIF(Clean_Table[Temp ID],Clean_Table[[#This Row],[Temp ID]])&gt;1,"Duplicate","Unique")</f>
        <v>Unique</v>
      </c>
      <c r="L139">
        <f>IF(Clean_Table[[#This Row],[Role]]="VIP",1,0)</f>
        <v>0</v>
      </c>
      <c r="M139">
        <f>IF(Clean_Table[[#This Row],[Role]]="Speaker",1,0)</f>
        <v>0</v>
      </c>
      <c r="N139">
        <f>IF(Clean_Table[[#This Row],[Role]]="Sponsor",1,0)</f>
        <v>0</v>
      </c>
      <c r="O139">
        <f>IF(Clean_Table[[#This Row],[Role]]="Attendee",1,0)</f>
        <v>1</v>
      </c>
      <c r="P139">
        <f>IF(Clean_Table[[#This Row],[Empty Cell Check]]="Missing",1,0)</f>
        <v>1</v>
      </c>
    </row>
    <row r="140" spans="1:16">
      <c r="A140" t="s">
        <v>250</v>
      </c>
      <c r="B140" t="s">
        <v>300</v>
      </c>
      <c r="C140" t="s">
        <v>78</v>
      </c>
      <c r="D140" t="s">
        <v>50</v>
      </c>
      <c r="E140" s="1" t="s">
        <v>848</v>
      </c>
      <c r="F140" t="s">
        <v>299</v>
      </c>
      <c r="G140" t="s">
        <v>810</v>
      </c>
      <c r="H140" t="s">
        <v>39</v>
      </c>
      <c r="I14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4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Smithriley.smith294@example.comAustraliaWorkshop: Excel Mastery11:30 PM25DAttendee</v>
      </c>
      <c r="K140" t="str">
        <f>IF(COUNTIF(Clean_Table[Temp ID],Clean_Table[[#This Row],[Temp ID]])&gt;1,"Duplicate","Unique")</f>
        <v>Unique</v>
      </c>
      <c r="L140">
        <f>IF(Clean_Table[[#This Row],[Role]]="VIP",1,0)</f>
        <v>0</v>
      </c>
      <c r="M140">
        <f>IF(Clean_Table[[#This Row],[Role]]="Speaker",1,0)</f>
        <v>0</v>
      </c>
      <c r="N140">
        <f>IF(Clean_Table[[#This Row],[Role]]="Sponsor",1,0)</f>
        <v>0</v>
      </c>
      <c r="O140">
        <f>IF(Clean_Table[[#This Row],[Role]]="Attendee",1,0)</f>
        <v>1</v>
      </c>
      <c r="P140">
        <f>IF(Clean_Table[[#This Row],[Empty Cell Check]]="Missing",1,0)</f>
        <v>1</v>
      </c>
    </row>
    <row r="141" spans="1:16">
      <c r="A141" t="s">
        <v>151</v>
      </c>
      <c r="B141" t="s">
        <v>301</v>
      </c>
      <c r="C141" t="s">
        <v>55</v>
      </c>
      <c r="D141" t="s">
        <v>79</v>
      </c>
      <c r="E141" s="1" t="s">
        <v>839</v>
      </c>
      <c r="F141" t="s">
        <v>299</v>
      </c>
      <c r="G141" t="s">
        <v>810</v>
      </c>
      <c r="H141" t="s">
        <v>39</v>
      </c>
      <c r="I14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4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Clarkriley.clark247@example.comBrazilPanel: Women in Tech09:00 AM25DAttendee</v>
      </c>
      <c r="K141" t="str">
        <f>IF(COUNTIF(Clean_Table[Temp ID],Clean_Table[[#This Row],[Temp ID]])&gt;1,"Duplicate","Unique")</f>
        <v>Unique</v>
      </c>
      <c r="L141">
        <f>IF(Clean_Table[[#This Row],[Role]]="VIP",1,0)</f>
        <v>0</v>
      </c>
      <c r="M141">
        <f>IF(Clean_Table[[#This Row],[Role]]="Speaker",1,0)</f>
        <v>0</v>
      </c>
      <c r="N141">
        <f>IF(Clean_Table[[#This Row],[Role]]="Sponsor",1,0)</f>
        <v>0</v>
      </c>
      <c r="O141">
        <f>IF(Clean_Table[[#This Row],[Role]]="Attendee",1,0)</f>
        <v>1</v>
      </c>
      <c r="P141">
        <f>IF(Clean_Table[[#This Row],[Empty Cell Check]]="Missing",1,0)</f>
        <v>1</v>
      </c>
    </row>
    <row r="142" spans="1:16">
      <c r="A142" t="s">
        <v>173</v>
      </c>
      <c r="B142" t="s">
        <v>302</v>
      </c>
      <c r="C142" t="s">
        <v>101</v>
      </c>
      <c r="D142" t="s">
        <v>810</v>
      </c>
      <c r="E142" s="2" t="s">
        <v>819</v>
      </c>
      <c r="F142" t="s">
        <v>303</v>
      </c>
      <c r="G142" t="s">
        <v>52</v>
      </c>
      <c r="H142" t="s">
        <v>39</v>
      </c>
      <c r="I14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4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Chris Allenchris.allen499@example.comJapan01:00 AM26AVeganAttendee</v>
      </c>
      <c r="K142" t="str">
        <f>IF(COUNTIF(Clean_Table[Temp ID],Clean_Table[[#This Row],[Temp ID]])&gt;1,"Duplicate","Unique")</f>
        <v>Unique</v>
      </c>
      <c r="L142">
        <f>IF(Clean_Table[[#This Row],[Role]]="VIP",1,0)</f>
        <v>0</v>
      </c>
      <c r="M142">
        <f>IF(Clean_Table[[#This Row],[Role]]="Speaker",1,0)</f>
        <v>0</v>
      </c>
      <c r="N142">
        <f>IF(Clean_Table[[#This Row],[Role]]="Sponsor",1,0)</f>
        <v>0</v>
      </c>
      <c r="O142">
        <f>IF(Clean_Table[[#This Row],[Role]]="Attendee",1,0)</f>
        <v>1</v>
      </c>
      <c r="P142">
        <f>IF(Clean_Table[[#This Row],[Empty Cell Check]]="Missing",1,0)</f>
        <v>1</v>
      </c>
    </row>
    <row r="143" spans="1:16">
      <c r="A143" t="s">
        <v>197</v>
      </c>
      <c r="B143" t="s">
        <v>304</v>
      </c>
      <c r="C143" t="s">
        <v>34</v>
      </c>
      <c r="D143" t="s">
        <v>810</v>
      </c>
      <c r="E143" s="2" t="s">
        <v>822</v>
      </c>
      <c r="F143" t="s">
        <v>303</v>
      </c>
      <c r="G143" t="s">
        <v>52</v>
      </c>
      <c r="H143" t="s">
        <v>39</v>
      </c>
      <c r="I14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4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Lewisjamie.lewis742@example.comGermany04:00 AM26AVeganAttendee</v>
      </c>
      <c r="K143" t="str">
        <f>IF(COUNTIF(Clean_Table[Temp ID],Clean_Table[[#This Row],[Temp ID]])&gt;1,"Duplicate","Unique")</f>
        <v>Unique</v>
      </c>
      <c r="L143">
        <f>IF(Clean_Table[[#This Row],[Role]]="VIP",1,0)</f>
        <v>0</v>
      </c>
      <c r="M143">
        <f>IF(Clean_Table[[#This Row],[Role]]="Speaker",1,0)</f>
        <v>0</v>
      </c>
      <c r="N143">
        <f>IF(Clean_Table[[#This Row],[Role]]="Sponsor",1,0)</f>
        <v>0</v>
      </c>
      <c r="O143">
        <f>IF(Clean_Table[[#This Row],[Role]]="Attendee",1,0)</f>
        <v>1</v>
      </c>
      <c r="P143">
        <f>IF(Clean_Table[[#This Row],[Empty Cell Check]]="Missing",1,0)</f>
        <v>1</v>
      </c>
    </row>
    <row r="144" spans="1:16">
      <c r="A144" t="s">
        <v>64</v>
      </c>
      <c r="B144" t="s">
        <v>305</v>
      </c>
      <c r="C144" t="s">
        <v>101</v>
      </c>
      <c r="D144" t="s">
        <v>50</v>
      </c>
      <c r="E144" s="1" t="s">
        <v>819</v>
      </c>
      <c r="F144" t="s">
        <v>303</v>
      </c>
      <c r="G144" t="s">
        <v>91</v>
      </c>
      <c r="H144" t="s">
        <v>39</v>
      </c>
      <c r="I14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14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Smithjamie.smith567@example.comJapanWorkshop: Excel Mastery01:00 AM26AHalalAttendee</v>
      </c>
      <c r="K144" t="str">
        <f>IF(COUNTIF(Clean_Table[Temp ID],Clean_Table[[#This Row],[Temp ID]])&gt;1,"Duplicate","Unique")</f>
        <v>Unique</v>
      </c>
      <c r="L144">
        <f>IF(Clean_Table[[#This Row],[Role]]="VIP",1,0)</f>
        <v>0</v>
      </c>
      <c r="M144">
        <f>IF(Clean_Table[[#This Row],[Role]]="Speaker",1,0)</f>
        <v>0</v>
      </c>
      <c r="N144">
        <f>IF(Clean_Table[[#This Row],[Role]]="Sponsor",1,0)</f>
        <v>0</v>
      </c>
      <c r="O144">
        <f>IF(Clean_Table[[#This Row],[Role]]="Attendee",1,0)</f>
        <v>1</v>
      </c>
      <c r="P144">
        <f>IF(Clean_Table[[#This Row],[Empty Cell Check]]="Missing",1,0)</f>
        <v>0</v>
      </c>
    </row>
    <row r="145" spans="1:16">
      <c r="A145" t="s">
        <v>257</v>
      </c>
      <c r="B145" t="s">
        <v>306</v>
      </c>
      <c r="C145" t="s">
        <v>810</v>
      </c>
      <c r="D145" t="s">
        <v>45</v>
      </c>
      <c r="E145" s="1" t="s">
        <v>839</v>
      </c>
      <c r="F145" t="s">
        <v>303</v>
      </c>
      <c r="G145" t="s">
        <v>31</v>
      </c>
      <c r="H145" t="s">
        <v>39</v>
      </c>
      <c r="I14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4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Walkerjamie.walker998@example.comKeynote: Future of Data09:00 AM26ANoneAttendee</v>
      </c>
      <c r="K145" t="str">
        <f>IF(COUNTIF(Clean_Table[Temp ID],Clean_Table[[#This Row],[Temp ID]])&gt;1,"Duplicate","Unique")</f>
        <v>Unique</v>
      </c>
      <c r="L145">
        <f>IF(Clean_Table[[#This Row],[Role]]="VIP",1,0)</f>
        <v>0</v>
      </c>
      <c r="M145">
        <f>IF(Clean_Table[[#This Row],[Role]]="Speaker",1,0)</f>
        <v>0</v>
      </c>
      <c r="N145">
        <f>IF(Clean_Table[[#This Row],[Role]]="Sponsor",1,0)</f>
        <v>0</v>
      </c>
      <c r="O145">
        <f>IF(Clean_Table[[#This Row],[Role]]="Attendee",1,0)</f>
        <v>1</v>
      </c>
      <c r="P145">
        <f>IF(Clean_Table[[#This Row],[Empty Cell Check]]="Missing",1,0)</f>
        <v>1</v>
      </c>
    </row>
    <row r="146" spans="1:16">
      <c r="A146" t="s">
        <v>307</v>
      </c>
      <c r="B146" t="s">
        <v>308</v>
      </c>
      <c r="C146" t="s">
        <v>12</v>
      </c>
      <c r="D146" t="s">
        <v>71</v>
      </c>
      <c r="E146" s="1" t="s">
        <v>845</v>
      </c>
      <c r="F146" t="s">
        <v>309</v>
      </c>
      <c r="G146" t="s">
        <v>810</v>
      </c>
      <c r="H146" t="s">
        <v>39</v>
      </c>
      <c r="I14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4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Drew Clarkdrew.clark841@example.comUnited StatesWebinar: AI Ethics02:30 AM26BAttendee</v>
      </c>
      <c r="K146" t="str">
        <f>IF(COUNTIF(Clean_Table[Temp ID],Clean_Table[[#This Row],[Temp ID]])&gt;1,"Duplicate","Unique")</f>
        <v>Unique</v>
      </c>
      <c r="L146">
        <f>IF(Clean_Table[[#This Row],[Role]]="VIP",1,0)</f>
        <v>0</v>
      </c>
      <c r="M146">
        <f>IF(Clean_Table[[#This Row],[Role]]="Speaker",1,0)</f>
        <v>0</v>
      </c>
      <c r="N146">
        <f>IF(Clean_Table[[#This Row],[Role]]="Sponsor",1,0)</f>
        <v>0</v>
      </c>
      <c r="O146">
        <f>IF(Clean_Table[[#This Row],[Role]]="Attendee",1,0)</f>
        <v>1</v>
      </c>
      <c r="P146">
        <f>IF(Clean_Table[[#This Row],[Empty Cell Check]]="Missing",1,0)</f>
        <v>1</v>
      </c>
    </row>
    <row r="147" spans="1:16">
      <c r="A147" t="s">
        <v>310</v>
      </c>
      <c r="B147" t="s">
        <v>311</v>
      </c>
      <c r="C147" t="s">
        <v>112</v>
      </c>
      <c r="D147" t="s">
        <v>810</v>
      </c>
      <c r="E147" s="2" t="s">
        <v>814</v>
      </c>
      <c r="F147" t="s">
        <v>312</v>
      </c>
      <c r="G147" t="s">
        <v>810</v>
      </c>
      <c r="H147" t="s">
        <v>39</v>
      </c>
      <c r="I14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4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Jesse Smithjesse.smith573@example.comNigeria11:00 PM26CAttendee</v>
      </c>
      <c r="K147" t="str">
        <f>IF(COUNTIF(Clean_Table[Temp ID],Clean_Table[[#This Row],[Temp ID]])&gt;1,"Duplicate","Unique")</f>
        <v>Unique</v>
      </c>
      <c r="L147">
        <f>IF(Clean_Table[[#This Row],[Role]]="VIP",1,0)</f>
        <v>0</v>
      </c>
      <c r="M147">
        <f>IF(Clean_Table[[#This Row],[Role]]="Speaker",1,0)</f>
        <v>0</v>
      </c>
      <c r="N147">
        <f>IF(Clean_Table[[#This Row],[Role]]="Sponsor",1,0)</f>
        <v>0</v>
      </c>
      <c r="O147">
        <f>IF(Clean_Table[[#This Row],[Role]]="Attendee",1,0)</f>
        <v>1</v>
      </c>
      <c r="P147">
        <f>IF(Clean_Table[[#This Row],[Empty Cell Check]]="Missing",1,0)</f>
        <v>1</v>
      </c>
    </row>
    <row r="148" spans="1:16">
      <c r="A148" t="s">
        <v>313</v>
      </c>
      <c r="B148" t="s">
        <v>314</v>
      </c>
      <c r="C148" t="s">
        <v>78</v>
      </c>
      <c r="D148" t="s">
        <v>71</v>
      </c>
      <c r="E148" s="2" t="s">
        <v>858</v>
      </c>
      <c r="F148" t="s">
        <v>312</v>
      </c>
      <c r="G148" t="s">
        <v>810</v>
      </c>
      <c r="H148" t="s">
        <v>39</v>
      </c>
      <c r="I14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4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Browncasey.brown250@example.comAustraliaWebinar: AI Ethics04:00 PM26CAttendee</v>
      </c>
      <c r="K148" t="str">
        <f>IF(COUNTIF(Clean_Table[Temp ID],Clean_Table[[#This Row],[Temp ID]])&gt;1,"Duplicate","Unique")</f>
        <v>Unique</v>
      </c>
      <c r="L148">
        <f>IF(Clean_Table[[#This Row],[Role]]="VIP",1,0)</f>
        <v>0</v>
      </c>
      <c r="M148">
        <f>IF(Clean_Table[[#This Row],[Role]]="Speaker",1,0)</f>
        <v>0</v>
      </c>
      <c r="N148">
        <f>IF(Clean_Table[[#This Row],[Role]]="Sponsor",1,0)</f>
        <v>0</v>
      </c>
      <c r="O148">
        <f>IF(Clean_Table[[#This Row],[Role]]="Attendee",1,0)</f>
        <v>1</v>
      </c>
      <c r="P148">
        <f>IF(Clean_Table[[#This Row],[Empty Cell Check]]="Missing",1,0)</f>
        <v>1</v>
      </c>
    </row>
    <row r="149" spans="1:16">
      <c r="A149" t="s">
        <v>151</v>
      </c>
      <c r="B149" t="s">
        <v>315</v>
      </c>
      <c r="C149" t="s">
        <v>810</v>
      </c>
      <c r="D149" t="s">
        <v>79</v>
      </c>
      <c r="E149" s="2" t="s">
        <v>818</v>
      </c>
      <c r="F149" t="s">
        <v>312</v>
      </c>
      <c r="G149" t="s">
        <v>810</v>
      </c>
      <c r="H149" t="s">
        <v>39</v>
      </c>
      <c r="I14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4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Clarkriley.clark574@example.comPanel: Women in Tech03:30 AM26CAttendee</v>
      </c>
      <c r="K149" t="str">
        <f>IF(COUNTIF(Clean_Table[Temp ID],Clean_Table[[#This Row],[Temp ID]])&gt;1,"Duplicate","Unique")</f>
        <v>Unique</v>
      </c>
      <c r="L149">
        <f>IF(Clean_Table[[#This Row],[Role]]="VIP",1,0)</f>
        <v>0</v>
      </c>
      <c r="M149">
        <f>IF(Clean_Table[[#This Row],[Role]]="Speaker",1,0)</f>
        <v>0</v>
      </c>
      <c r="N149">
        <f>IF(Clean_Table[[#This Row],[Role]]="Sponsor",1,0)</f>
        <v>0</v>
      </c>
      <c r="O149">
        <f>IF(Clean_Table[[#This Row],[Role]]="Attendee",1,0)</f>
        <v>1</v>
      </c>
      <c r="P149">
        <f>IF(Clean_Table[[#This Row],[Empty Cell Check]]="Missing",1,0)</f>
        <v>1</v>
      </c>
    </row>
    <row r="150" spans="1:16">
      <c r="A150" t="s">
        <v>310</v>
      </c>
      <c r="B150" t="s">
        <v>316</v>
      </c>
      <c r="C150" t="s">
        <v>810</v>
      </c>
      <c r="D150" t="s">
        <v>50</v>
      </c>
      <c r="E150" s="1" t="s">
        <v>823</v>
      </c>
      <c r="F150" t="s">
        <v>312</v>
      </c>
      <c r="G150" t="s">
        <v>91</v>
      </c>
      <c r="H150" t="s">
        <v>39</v>
      </c>
      <c r="I15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5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Jesse Smithjesse.smith446@example.comWorkshop: Excel Mastery05:30 AM26CHalalAttendee</v>
      </c>
      <c r="K150" t="str">
        <f>IF(COUNTIF(Clean_Table[Temp ID],Clean_Table[[#This Row],[Temp ID]])&gt;1,"Duplicate","Unique")</f>
        <v>Unique</v>
      </c>
      <c r="L150">
        <f>IF(Clean_Table[[#This Row],[Role]]="VIP",1,0)</f>
        <v>0</v>
      </c>
      <c r="M150">
        <f>IF(Clean_Table[[#This Row],[Role]]="Speaker",1,0)</f>
        <v>0</v>
      </c>
      <c r="N150">
        <f>IF(Clean_Table[[#This Row],[Role]]="Sponsor",1,0)</f>
        <v>0</v>
      </c>
      <c r="O150">
        <f>IF(Clean_Table[[#This Row],[Role]]="Attendee",1,0)</f>
        <v>1</v>
      </c>
      <c r="P150">
        <f>IF(Clean_Table[[#This Row],[Empty Cell Check]]="Missing",1,0)</f>
        <v>1</v>
      </c>
    </row>
    <row r="151" spans="1:16">
      <c r="A151" t="s">
        <v>81</v>
      </c>
      <c r="B151" t="s">
        <v>317</v>
      </c>
      <c r="C151" t="s">
        <v>810</v>
      </c>
      <c r="D151" t="s">
        <v>79</v>
      </c>
      <c r="E151" s="2" t="s">
        <v>834</v>
      </c>
      <c r="F151" t="s">
        <v>318</v>
      </c>
      <c r="G151" t="s">
        <v>31</v>
      </c>
      <c r="H151" t="s">
        <v>39</v>
      </c>
      <c r="I15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5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Hallcasey.hall51@example.comPanel: Women in Tech05:00 AM26DNoneAttendee</v>
      </c>
      <c r="K151" t="str">
        <f>IF(COUNTIF(Clean_Table[Temp ID],Clean_Table[[#This Row],[Temp ID]])&gt;1,"Duplicate","Unique")</f>
        <v>Unique</v>
      </c>
      <c r="L151">
        <f>IF(Clean_Table[[#This Row],[Role]]="VIP",1,0)</f>
        <v>0</v>
      </c>
      <c r="M151">
        <f>IF(Clean_Table[[#This Row],[Role]]="Speaker",1,0)</f>
        <v>0</v>
      </c>
      <c r="N151">
        <f>IF(Clean_Table[[#This Row],[Role]]="Sponsor",1,0)</f>
        <v>0</v>
      </c>
      <c r="O151">
        <f>IF(Clean_Table[[#This Row],[Role]]="Attendee",1,0)</f>
        <v>1</v>
      </c>
      <c r="P151">
        <f>IF(Clean_Table[[#This Row],[Empty Cell Check]]="Missing",1,0)</f>
        <v>1</v>
      </c>
    </row>
    <row r="152" spans="1:16">
      <c r="A152" t="s">
        <v>255</v>
      </c>
      <c r="B152" t="s">
        <v>319</v>
      </c>
      <c r="C152" t="s">
        <v>37</v>
      </c>
      <c r="D152" t="s">
        <v>50</v>
      </c>
      <c r="E152" s="2" t="s">
        <v>859</v>
      </c>
      <c r="F152" t="s">
        <v>318</v>
      </c>
      <c r="G152" t="s">
        <v>28</v>
      </c>
      <c r="H152" t="s">
        <v>39</v>
      </c>
      <c r="I15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15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Walkertaylor.walker805@example.comCanadaWorkshop: Excel Mastery08:30 PM26DKosherAttendee</v>
      </c>
      <c r="K152" t="str">
        <f>IF(COUNTIF(Clean_Table[Temp ID],Clean_Table[[#This Row],[Temp ID]])&gt;1,"Duplicate","Unique")</f>
        <v>Unique</v>
      </c>
      <c r="L152">
        <f>IF(Clean_Table[[#This Row],[Role]]="VIP",1,0)</f>
        <v>0</v>
      </c>
      <c r="M152">
        <f>IF(Clean_Table[[#This Row],[Role]]="Speaker",1,0)</f>
        <v>0</v>
      </c>
      <c r="N152">
        <f>IF(Clean_Table[[#This Row],[Role]]="Sponsor",1,0)</f>
        <v>0</v>
      </c>
      <c r="O152">
        <f>IF(Clean_Table[[#This Row],[Role]]="Attendee",1,0)</f>
        <v>1</v>
      </c>
      <c r="P152">
        <f>IF(Clean_Table[[#This Row],[Empty Cell Check]]="Missing",1,0)</f>
        <v>0</v>
      </c>
    </row>
    <row r="153" spans="1:16">
      <c r="A153" t="s">
        <v>88</v>
      </c>
      <c r="B153" t="s">
        <v>320</v>
      </c>
      <c r="C153" t="s">
        <v>112</v>
      </c>
      <c r="D153" t="s">
        <v>810</v>
      </c>
      <c r="E153" s="1" t="s">
        <v>815</v>
      </c>
      <c r="F153" t="s">
        <v>321</v>
      </c>
      <c r="G153" t="s">
        <v>810</v>
      </c>
      <c r="H153" t="s">
        <v>39</v>
      </c>
      <c r="I15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5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Jordan Lewisjordan.lewis221@example.comNigeria12:30 PM27AAttendee</v>
      </c>
      <c r="K153" t="str">
        <f>IF(COUNTIF(Clean_Table[Temp ID],Clean_Table[[#This Row],[Temp ID]])&gt;1,"Duplicate","Unique")</f>
        <v>Unique</v>
      </c>
      <c r="L153">
        <f>IF(Clean_Table[[#This Row],[Role]]="VIP",1,0)</f>
        <v>0</v>
      </c>
      <c r="M153">
        <f>IF(Clean_Table[[#This Row],[Role]]="Speaker",1,0)</f>
        <v>0</v>
      </c>
      <c r="N153">
        <f>IF(Clean_Table[[#This Row],[Role]]="Sponsor",1,0)</f>
        <v>0</v>
      </c>
      <c r="O153">
        <f>IF(Clean_Table[[#This Row],[Role]]="Attendee",1,0)</f>
        <v>1</v>
      </c>
      <c r="P153">
        <f>IF(Clean_Table[[#This Row],[Empty Cell Check]]="Missing",1,0)</f>
        <v>1</v>
      </c>
    </row>
    <row r="154" spans="1:16">
      <c r="A154" t="s">
        <v>322</v>
      </c>
      <c r="B154" t="s">
        <v>323</v>
      </c>
      <c r="C154" t="s">
        <v>68</v>
      </c>
      <c r="D154" t="s">
        <v>79</v>
      </c>
      <c r="E154" s="1" t="s">
        <v>854</v>
      </c>
      <c r="F154" t="s">
        <v>324</v>
      </c>
      <c r="G154" t="s">
        <v>28</v>
      </c>
      <c r="H154" t="s">
        <v>39</v>
      </c>
      <c r="I15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15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Drew Walkerdrew.walker247@example.comIndiaPanel: Women in Tech08:00 AM27BKosherAttendee</v>
      </c>
      <c r="K154" t="str">
        <f>IF(COUNTIF(Clean_Table[Temp ID],Clean_Table[[#This Row],[Temp ID]])&gt;1,"Duplicate","Unique")</f>
        <v>Unique</v>
      </c>
      <c r="L154">
        <f>IF(Clean_Table[[#This Row],[Role]]="VIP",1,0)</f>
        <v>0</v>
      </c>
      <c r="M154">
        <f>IF(Clean_Table[[#This Row],[Role]]="Speaker",1,0)</f>
        <v>0</v>
      </c>
      <c r="N154">
        <f>IF(Clean_Table[[#This Row],[Role]]="Sponsor",1,0)</f>
        <v>0</v>
      </c>
      <c r="O154">
        <f>IF(Clean_Table[[#This Row],[Role]]="Attendee",1,0)</f>
        <v>1</v>
      </c>
      <c r="P154">
        <f>IF(Clean_Table[[#This Row],[Empty Cell Check]]="Missing",1,0)</f>
        <v>0</v>
      </c>
    </row>
    <row r="155" spans="1:16">
      <c r="A155" t="s">
        <v>83</v>
      </c>
      <c r="B155" t="s">
        <v>325</v>
      </c>
      <c r="C155" t="s">
        <v>101</v>
      </c>
      <c r="D155" t="s">
        <v>13</v>
      </c>
      <c r="E155" s="1" t="s">
        <v>835</v>
      </c>
      <c r="F155" t="s">
        <v>324</v>
      </c>
      <c r="G155" t="s">
        <v>810</v>
      </c>
      <c r="H155" t="s">
        <v>39</v>
      </c>
      <c r="I15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5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Chris Walkerchris.walker422@example.comJapanTraining: Dashboard Design02:30 PM27BAttendee</v>
      </c>
      <c r="K155" t="str">
        <f>IF(COUNTIF(Clean_Table[Temp ID],Clean_Table[[#This Row],[Temp ID]])&gt;1,"Duplicate","Unique")</f>
        <v>Unique</v>
      </c>
      <c r="L155">
        <f>IF(Clean_Table[[#This Row],[Role]]="VIP",1,0)</f>
        <v>0</v>
      </c>
      <c r="M155">
        <f>IF(Clean_Table[[#This Row],[Role]]="Speaker",1,0)</f>
        <v>0</v>
      </c>
      <c r="N155">
        <f>IF(Clean_Table[[#This Row],[Role]]="Sponsor",1,0)</f>
        <v>0</v>
      </c>
      <c r="O155">
        <f>IF(Clean_Table[[#This Row],[Role]]="Attendee",1,0)</f>
        <v>1</v>
      </c>
      <c r="P155">
        <f>IF(Clean_Table[[#This Row],[Empty Cell Check]]="Missing",1,0)</f>
        <v>1</v>
      </c>
    </row>
    <row r="156" spans="1:16">
      <c r="A156" t="s">
        <v>88</v>
      </c>
      <c r="B156" t="s">
        <v>326</v>
      </c>
      <c r="C156" t="s">
        <v>112</v>
      </c>
      <c r="D156" t="s">
        <v>79</v>
      </c>
      <c r="E156" s="2" t="s">
        <v>849</v>
      </c>
      <c r="F156" t="s">
        <v>324</v>
      </c>
      <c r="G156" t="s">
        <v>52</v>
      </c>
      <c r="H156" t="s">
        <v>39</v>
      </c>
      <c r="I15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15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Jordan Lewisjordan.lewis410@example.comNigeriaPanel: Women in Tech10:30 PM27BVeganAttendee</v>
      </c>
      <c r="K156" t="str">
        <f>IF(COUNTIF(Clean_Table[Temp ID],Clean_Table[[#This Row],[Temp ID]])&gt;1,"Duplicate","Unique")</f>
        <v>Unique</v>
      </c>
      <c r="L156">
        <f>IF(Clean_Table[[#This Row],[Role]]="VIP",1,0)</f>
        <v>0</v>
      </c>
      <c r="M156">
        <f>IF(Clean_Table[[#This Row],[Role]]="Speaker",1,0)</f>
        <v>0</v>
      </c>
      <c r="N156">
        <f>IF(Clean_Table[[#This Row],[Role]]="Sponsor",1,0)</f>
        <v>0</v>
      </c>
      <c r="O156">
        <f>IF(Clean_Table[[#This Row],[Role]]="Attendee",1,0)</f>
        <v>1</v>
      </c>
      <c r="P156">
        <f>IF(Clean_Table[[#This Row],[Empty Cell Check]]="Missing",1,0)</f>
        <v>0</v>
      </c>
    </row>
    <row r="157" spans="1:16">
      <c r="A157" t="s">
        <v>214</v>
      </c>
      <c r="B157" t="s">
        <v>327</v>
      </c>
      <c r="C157" t="s">
        <v>37</v>
      </c>
      <c r="D157" t="s">
        <v>810</v>
      </c>
      <c r="E157" s="1" t="s">
        <v>855</v>
      </c>
      <c r="F157" t="s">
        <v>324</v>
      </c>
      <c r="G157" t="s">
        <v>28</v>
      </c>
      <c r="H157" t="s">
        <v>39</v>
      </c>
      <c r="I15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5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Jordan Clarkjordan.clark263@example.comCanada01:30 PM27BKosherAttendee</v>
      </c>
      <c r="K157" t="str">
        <f>IF(COUNTIF(Clean_Table[Temp ID],Clean_Table[[#This Row],[Temp ID]])&gt;1,"Duplicate","Unique")</f>
        <v>Unique</v>
      </c>
      <c r="L157">
        <f>IF(Clean_Table[[#This Row],[Role]]="VIP",1,0)</f>
        <v>0</v>
      </c>
      <c r="M157">
        <f>IF(Clean_Table[[#This Row],[Role]]="Speaker",1,0)</f>
        <v>0</v>
      </c>
      <c r="N157">
        <f>IF(Clean_Table[[#This Row],[Role]]="Sponsor",1,0)</f>
        <v>0</v>
      </c>
      <c r="O157">
        <f>IF(Clean_Table[[#This Row],[Role]]="Attendee",1,0)</f>
        <v>1</v>
      </c>
      <c r="P157">
        <f>IF(Clean_Table[[#This Row],[Empty Cell Check]]="Missing",1,0)</f>
        <v>1</v>
      </c>
    </row>
    <row r="158" spans="1:16">
      <c r="A158" t="s">
        <v>92</v>
      </c>
      <c r="B158" t="s">
        <v>328</v>
      </c>
      <c r="C158" t="s">
        <v>68</v>
      </c>
      <c r="D158" t="s">
        <v>71</v>
      </c>
      <c r="E158" s="1" t="s">
        <v>850</v>
      </c>
      <c r="F158" t="s">
        <v>329</v>
      </c>
      <c r="G158" t="s">
        <v>15</v>
      </c>
      <c r="H158" t="s">
        <v>39</v>
      </c>
      <c r="I15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15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Jordan Brownjordan.brown510@example.comIndiaWebinar: AI Ethics05:00 PM27CVegetarianAttendee</v>
      </c>
      <c r="K158" t="str">
        <f>IF(COUNTIF(Clean_Table[Temp ID],Clean_Table[[#This Row],[Temp ID]])&gt;1,"Duplicate","Unique")</f>
        <v>Unique</v>
      </c>
      <c r="L158">
        <f>IF(Clean_Table[[#This Row],[Role]]="VIP",1,0)</f>
        <v>0</v>
      </c>
      <c r="M158">
        <f>IF(Clean_Table[[#This Row],[Role]]="Speaker",1,0)</f>
        <v>0</v>
      </c>
      <c r="N158">
        <f>IF(Clean_Table[[#This Row],[Role]]="Sponsor",1,0)</f>
        <v>0</v>
      </c>
      <c r="O158">
        <f>IF(Clean_Table[[#This Row],[Role]]="Attendee",1,0)</f>
        <v>1</v>
      </c>
      <c r="P158">
        <f>IF(Clean_Table[[#This Row],[Empty Cell Check]]="Missing",1,0)</f>
        <v>0</v>
      </c>
    </row>
    <row r="159" spans="1:16">
      <c r="A159" t="s">
        <v>330</v>
      </c>
      <c r="B159" t="s">
        <v>331</v>
      </c>
      <c r="C159" t="s">
        <v>78</v>
      </c>
      <c r="D159" t="s">
        <v>50</v>
      </c>
      <c r="E159" s="2" t="s">
        <v>829</v>
      </c>
      <c r="F159" t="s">
        <v>332</v>
      </c>
      <c r="G159" t="s">
        <v>810</v>
      </c>
      <c r="H159" t="s">
        <v>39</v>
      </c>
      <c r="I15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5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Alex Walkeralex.walker322@example.comAustraliaWorkshop: Excel Mastery10:00 PM27DAttendee</v>
      </c>
      <c r="K159" t="str">
        <f>IF(COUNTIF(Clean_Table[Temp ID],Clean_Table[[#This Row],[Temp ID]])&gt;1,"Duplicate","Unique")</f>
        <v>Unique</v>
      </c>
      <c r="L159">
        <f>IF(Clean_Table[[#This Row],[Role]]="VIP",1,0)</f>
        <v>0</v>
      </c>
      <c r="M159">
        <f>IF(Clean_Table[[#This Row],[Role]]="Speaker",1,0)</f>
        <v>0</v>
      </c>
      <c r="N159">
        <f>IF(Clean_Table[[#This Row],[Role]]="Sponsor",1,0)</f>
        <v>0</v>
      </c>
      <c r="O159">
        <f>IF(Clean_Table[[#This Row],[Role]]="Attendee",1,0)</f>
        <v>1</v>
      </c>
      <c r="P159">
        <f>IF(Clean_Table[[#This Row],[Empty Cell Check]]="Missing",1,0)</f>
        <v>1</v>
      </c>
    </row>
    <row r="160" spans="1:16">
      <c r="A160" t="s">
        <v>117</v>
      </c>
      <c r="B160" t="s">
        <v>333</v>
      </c>
      <c r="C160" t="s">
        <v>78</v>
      </c>
      <c r="D160" t="s">
        <v>71</v>
      </c>
      <c r="E160" s="2" t="s">
        <v>855</v>
      </c>
      <c r="F160" t="s">
        <v>332</v>
      </c>
      <c r="G160" t="s">
        <v>28</v>
      </c>
      <c r="H160" t="s">
        <v>39</v>
      </c>
      <c r="I16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16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Wilsontaylor.wilson835@example.comAustraliaWebinar: AI Ethics01:30 PM27DKosherAttendee</v>
      </c>
      <c r="K160" t="str">
        <f>IF(COUNTIF(Clean_Table[Temp ID],Clean_Table[[#This Row],[Temp ID]])&gt;1,"Duplicate","Unique")</f>
        <v>Unique</v>
      </c>
      <c r="L160">
        <f>IF(Clean_Table[[#This Row],[Role]]="VIP",1,0)</f>
        <v>0</v>
      </c>
      <c r="M160">
        <f>IF(Clean_Table[[#This Row],[Role]]="Speaker",1,0)</f>
        <v>0</v>
      </c>
      <c r="N160">
        <f>IF(Clean_Table[[#This Row],[Role]]="Sponsor",1,0)</f>
        <v>0</v>
      </c>
      <c r="O160">
        <f>IF(Clean_Table[[#This Row],[Role]]="Attendee",1,0)</f>
        <v>1</v>
      </c>
      <c r="P160">
        <f>IF(Clean_Table[[#This Row],[Empty Cell Check]]="Missing",1,0)</f>
        <v>0</v>
      </c>
    </row>
    <row r="161" spans="1:16">
      <c r="A161" t="s">
        <v>334</v>
      </c>
      <c r="B161" t="s">
        <v>335</v>
      </c>
      <c r="C161" t="s">
        <v>78</v>
      </c>
      <c r="D161" t="s">
        <v>71</v>
      </c>
      <c r="E161" s="1" t="s">
        <v>828</v>
      </c>
      <c r="F161" t="s">
        <v>332</v>
      </c>
      <c r="G161" t="s">
        <v>810</v>
      </c>
      <c r="H161" t="s">
        <v>39</v>
      </c>
      <c r="I16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6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Johnsonjamie.johnson747@example.comAustraliaWebinar: AI Ethics04:30 PM27DAttendee</v>
      </c>
      <c r="K161" t="str">
        <f>IF(COUNTIF(Clean_Table[Temp ID],Clean_Table[[#This Row],[Temp ID]])&gt;1,"Duplicate","Unique")</f>
        <v>Unique</v>
      </c>
      <c r="L161">
        <f>IF(Clean_Table[[#This Row],[Role]]="VIP",1,0)</f>
        <v>0</v>
      </c>
      <c r="M161">
        <f>IF(Clean_Table[[#This Row],[Role]]="Speaker",1,0)</f>
        <v>0</v>
      </c>
      <c r="N161">
        <f>IF(Clean_Table[[#This Row],[Role]]="Sponsor",1,0)</f>
        <v>0</v>
      </c>
      <c r="O161">
        <f>IF(Clean_Table[[#This Row],[Role]]="Attendee",1,0)</f>
        <v>1</v>
      </c>
      <c r="P161">
        <f>IF(Clean_Table[[#This Row],[Empty Cell Check]]="Missing",1,0)</f>
        <v>1</v>
      </c>
    </row>
    <row r="162" spans="1:16">
      <c r="A162" t="s">
        <v>17</v>
      </c>
      <c r="B162" t="s">
        <v>336</v>
      </c>
      <c r="C162" t="s">
        <v>810</v>
      </c>
      <c r="D162" t="s">
        <v>810</v>
      </c>
      <c r="E162" s="2" t="s">
        <v>852</v>
      </c>
      <c r="F162" t="s">
        <v>337</v>
      </c>
      <c r="G162" t="s">
        <v>31</v>
      </c>
      <c r="H162" t="s">
        <v>39</v>
      </c>
      <c r="I16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6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Allenriley.allen585@example.com09:30 PM28ANoneAttendee</v>
      </c>
      <c r="K162" t="str">
        <f>IF(COUNTIF(Clean_Table[Temp ID],Clean_Table[[#This Row],[Temp ID]])&gt;1,"Duplicate","Unique")</f>
        <v>Unique</v>
      </c>
      <c r="L162">
        <f>IF(Clean_Table[[#This Row],[Role]]="VIP",1,0)</f>
        <v>0</v>
      </c>
      <c r="M162">
        <f>IF(Clean_Table[[#This Row],[Role]]="Speaker",1,0)</f>
        <v>0</v>
      </c>
      <c r="N162">
        <f>IF(Clean_Table[[#This Row],[Role]]="Sponsor",1,0)</f>
        <v>0</v>
      </c>
      <c r="O162">
        <f>IF(Clean_Table[[#This Row],[Role]]="Attendee",1,0)</f>
        <v>1</v>
      </c>
      <c r="P162">
        <f>IF(Clean_Table[[#This Row],[Empty Cell Check]]="Missing",1,0)</f>
        <v>1</v>
      </c>
    </row>
    <row r="163" spans="1:16">
      <c r="A163" t="s">
        <v>214</v>
      </c>
      <c r="B163" t="s">
        <v>338</v>
      </c>
      <c r="C163" t="s">
        <v>27</v>
      </c>
      <c r="D163" t="s">
        <v>13</v>
      </c>
      <c r="E163" s="1" t="s">
        <v>833</v>
      </c>
      <c r="F163" t="s">
        <v>339</v>
      </c>
      <c r="G163" t="s">
        <v>52</v>
      </c>
      <c r="H163" t="s">
        <v>39</v>
      </c>
      <c r="I16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16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Jordan Clarkjordan.clark609@example.comFranceTraining: Dashboard Design07:00 AM28BVeganAttendee</v>
      </c>
      <c r="K163" t="str">
        <f>IF(COUNTIF(Clean_Table[Temp ID],Clean_Table[[#This Row],[Temp ID]])&gt;1,"Duplicate","Unique")</f>
        <v>Unique</v>
      </c>
      <c r="L163">
        <f>IF(Clean_Table[[#This Row],[Role]]="VIP",1,0)</f>
        <v>0</v>
      </c>
      <c r="M163">
        <f>IF(Clean_Table[[#This Row],[Role]]="Speaker",1,0)</f>
        <v>0</v>
      </c>
      <c r="N163">
        <f>IF(Clean_Table[[#This Row],[Role]]="Sponsor",1,0)</f>
        <v>0</v>
      </c>
      <c r="O163">
        <f>IF(Clean_Table[[#This Row],[Role]]="Attendee",1,0)</f>
        <v>1</v>
      </c>
      <c r="P163">
        <f>IF(Clean_Table[[#This Row],[Empty Cell Check]]="Missing",1,0)</f>
        <v>0</v>
      </c>
    </row>
    <row r="164" spans="1:16">
      <c r="A164" t="s">
        <v>117</v>
      </c>
      <c r="B164" t="s">
        <v>340</v>
      </c>
      <c r="C164" t="s">
        <v>68</v>
      </c>
      <c r="D164" t="s">
        <v>50</v>
      </c>
      <c r="E164" s="1" t="s">
        <v>833</v>
      </c>
      <c r="F164" t="s">
        <v>339</v>
      </c>
      <c r="G164" t="s">
        <v>810</v>
      </c>
      <c r="H164" t="s">
        <v>39</v>
      </c>
      <c r="I16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6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Wilsontaylor.wilson828@example.comIndiaWorkshop: Excel Mastery07:00 AM28BAttendee</v>
      </c>
      <c r="K164" t="str">
        <f>IF(COUNTIF(Clean_Table[Temp ID],Clean_Table[[#This Row],[Temp ID]])&gt;1,"Duplicate","Unique")</f>
        <v>Unique</v>
      </c>
      <c r="L164">
        <f>IF(Clean_Table[[#This Row],[Role]]="VIP",1,0)</f>
        <v>0</v>
      </c>
      <c r="M164">
        <f>IF(Clean_Table[[#This Row],[Role]]="Speaker",1,0)</f>
        <v>0</v>
      </c>
      <c r="N164">
        <f>IF(Clean_Table[[#This Row],[Role]]="Sponsor",1,0)</f>
        <v>0</v>
      </c>
      <c r="O164">
        <f>IF(Clean_Table[[#This Row],[Role]]="Attendee",1,0)</f>
        <v>1</v>
      </c>
      <c r="P164">
        <f>IF(Clean_Table[[#This Row],[Empty Cell Check]]="Missing",1,0)</f>
        <v>1</v>
      </c>
    </row>
    <row r="165" spans="1:16">
      <c r="A165" t="s">
        <v>269</v>
      </c>
      <c r="B165" t="s">
        <v>341</v>
      </c>
      <c r="C165" t="s">
        <v>78</v>
      </c>
      <c r="D165" t="s">
        <v>79</v>
      </c>
      <c r="E165" s="2" t="s">
        <v>829</v>
      </c>
      <c r="F165" t="s">
        <v>339</v>
      </c>
      <c r="G165" t="s">
        <v>810</v>
      </c>
      <c r="H165" t="s">
        <v>39</v>
      </c>
      <c r="I16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6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Walkercasey.walker109@example.comAustraliaPanel: Women in Tech10:00 PM28BAttendee</v>
      </c>
      <c r="K165" t="str">
        <f>IF(COUNTIF(Clean_Table[Temp ID],Clean_Table[[#This Row],[Temp ID]])&gt;1,"Duplicate","Unique")</f>
        <v>Unique</v>
      </c>
      <c r="L165">
        <f>IF(Clean_Table[[#This Row],[Role]]="VIP",1,0)</f>
        <v>0</v>
      </c>
      <c r="M165">
        <f>IF(Clean_Table[[#This Row],[Role]]="Speaker",1,0)</f>
        <v>0</v>
      </c>
      <c r="N165">
        <f>IF(Clean_Table[[#This Row],[Role]]="Sponsor",1,0)</f>
        <v>0</v>
      </c>
      <c r="O165">
        <f>IF(Clean_Table[[#This Row],[Role]]="Attendee",1,0)</f>
        <v>1</v>
      </c>
      <c r="P165">
        <f>IF(Clean_Table[[#This Row],[Empty Cell Check]]="Missing",1,0)</f>
        <v>1</v>
      </c>
    </row>
    <row r="166" spans="1:16">
      <c r="A166" t="s">
        <v>265</v>
      </c>
      <c r="B166" t="s">
        <v>342</v>
      </c>
      <c r="C166" t="s">
        <v>27</v>
      </c>
      <c r="D166" t="s">
        <v>810</v>
      </c>
      <c r="E166" s="2" t="s">
        <v>849</v>
      </c>
      <c r="F166" t="s">
        <v>343</v>
      </c>
      <c r="G166" t="s">
        <v>810</v>
      </c>
      <c r="H166" t="s">
        <v>39</v>
      </c>
      <c r="I16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6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Alex Wilsonalex.wilson259@example.comFrance10:30 PM28DAttendee</v>
      </c>
      <c r="K166" t="str">
        <f>IF(COUNTIF(Clean_Table[Temp ID],Clean_Table[[#This Row],[Temp ID]])&gt;1,"Duplicate","Unique")</f>
        <v>Unique</v>
      </c>
      <c r="L166">
        <f>IF(Clean_Table[[#This Row],[Role]]="VIP",1,0)</f>
        <v>0</v>
      </c>
      <c r="M166">
        <f>IF(Clean_Table[[#This Row],[Role]]="Speaker",1,0)</f>
        <v>0</v>
      </c>
      <c r="N166">
        <f>IF(Clean_Table[[#This Row],[Role]]="Sponsor",1,0)</f>
        <v>0</v>
      </c>
      <c r="O166">
        <f>IF(Clean_Table[[#This Row],[Role]]="Attendee",1,0)</f>
        <v>1</v>
      </c>
      <c r="P166">
        <f>IF(Clean_Table[[#This Row],[Empty Cell Check]]="Missing",1,0)</f>
        <v>1</v>
      </c>
    </row>
    <row r="167" spans="1:16">
      <c r="A167" t="s">
        <v>147</v>
      </c>
      <c r="B167" t="s">
        <v>344</v>
      </c>
      <c r="C167" t="s">
        <v>34</v>
      </c>
      <c r="D167" t="s">
        <v>810</v>
      </c>
      <c r="E167" s="2" t="s">
        <v>847</v>
      </c>
      <c r="F167" t="s">
        <v>345</v>
      </c>
      <c r="G167" t="s">
        <v>28</v>
      </c>
      <c r="H167" t="s">
        <v>39</v>
      </c>
      <c r="I16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6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Browntaylor.brown62@example.comGermany07:30 PM29AKosherAttendee</v>
      </c>
      <c r="K167" t="str">
        <f>IF(COUNTIF(Clean_Table[Temp ID],Clean_Table[[#This Row],[Temp ID]])&gt;1,"Duplicate","Unique")</f>
        <v>Unique</v>
      </c>
      <c r="L167">
        <f>IF(Clean_Table[[#This Row],[Role]]="VIP",1,0)</f>
        <v>0</v>
      </c>
      <c r="M167">
        <f>IF(Clean_Table[[#This Row],[Role]]="Speaker",1,0)</f>
        <v>0</v>
      </c>
      <c r="N167">
        <f>IF(Clean_Table[[#This Row],[Role]]="Sponsor",1,0)</f>
        <v>0</v>
      </c>
      <c r="O167">
        <f>IF(Clean_Table[[#This Row],[Role]]="Attendee",1,0)</f>
        <v>1</v>
      </c>
      <c r="P167">
        <f>IF(Clean_Table[[#This Row],[Empty Cell Check]]="Missing",1,0)</f>
        <v>1</v>
      </c>
    </row>
    <row r="168" spans="1:16">
      <c r="A168" t="s">
        <v>346</v>
      </c>
      <c r="B168" t="s">
        <v>347</v>
      </c>
      <c r="C168" t="s">
        <v>34</v>
      </c>
      <c r="D168" t="s">
        <v>810</v>
      </c>
      <c r="E168" s="1" t="s">
        <v>854</v>
      </c>
      <c r="F168" t="s">
        <v>345</v>
      </c>
      <c r="G168" t="s">
        <v>810</v>
      </c>
      <c r="H168" t="s">
        <v>39</v>
      </c>
      <c r="I16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6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Wilsonriley.wilson126@example.comGermany08:00 AM29AAttendee</v>
      </c>
      <c r="K168" t="str">
        <f>IF(COUNTIF(Clean_Table[Temp ID],Clean_Table[[#This Row],[Temp ID]])&gt;1,"Duplicate","Unique")</f>
        <v>Unique</v>
      </c>
      <c r="L168">
        <f>IF(Clean_Table[[#This Row],[Role]]="VIP",1,0)</f>
        <v>0</v>
      </c>
      <c r="M168">
        <f>IF(Clean_Table[[#This Row],[Role]]="Speaker",1,0)</f>
        <v>0</v>
      </c>
      <c r="N168">
        <f>IF(Clean_Table[[#This Row],[Role]]="Sponsor",1,0)</f>
        <v>0</v>
      </c>
      <c r="O168">
        <f>IF(Clean_Table[[#This Row],[Role]]="Attendee",1,0)</f>
        <v>1</v>
      </c>
      <c r="P168">
        <f>IF(Clean_Table[[#This Row],[Empty Cell Check]]="Missing",1,0)</f>
        <v>1</v>
      </c>
    </row>
    <row r="169" spans="1:16">
      <c r="A169" t="s">
        <v>310</v>
      </c>
      <c r="B169" t="s">
        <v>348</v>
      </c>
      <c r="C169" t="s">
        <v>34</v>
      </c>
      <c r="D169" t="s">
        <v>810</v>
      </c>
      <c r="E169" s="2" t="s">
        <v>860</v>
      </c>
      <c r="F169" t="s">
        <v>345</v>
      </c>
      <c r="G169" t="s">
        <v>31</v>
      </c>
      <c r="H169" t="s">
        <v>39</v>
      </c>
      <c r="I16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6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Jesse Smithjesse.smith620@example.comGermany11:30 AM29ANoneAttendee</v>
      </c>
      <c r="K169" t="str">
        <f>IF(COUNTIF(Clean_Table[Temp ID],Clean_Table[[#This Row],[Temp ID]])&gt;1,"Duplicate","Unique")</f>
        <v>Unique</v>
      </c>
      <c r="L169">
        <f>IF(Clean_Table[[#This Row],[Role]]="VIP",1,0)</f>
        <v>0</v>
      </c>
      <c r="M169">
        <f>IF(Clean_Table[[#This Row],[Role]]="Speaker",1,0)</f>
        <v>0</v>
      </c>
      <c r="N169">
        <f>IF(Clean_Table[[#This Row],[Role]]="Sponsor",1,0)</f>
        <v>0</v>
      </c>
      <c r="O169">
        <f>IF(Clean_Table[[#This Row],[Role]]="Attendee",1,0)</f>
        <v>1</v>
      </c>
      <c r="P169">
        <f>IF(Clean_Table[[#This Row],[Empty Cell Check]]="Missing",1,0)</f>
        <v>1</v>
      </c>
    </row>
    <row r="170" spans="1:16">
      <c r="A170" t="s">
        <v>92</v>
      </c>
      <c r="B170" t="s">
        <v>349</v>
      </c>
      <c r="C170" t="s">
        <v>68</v>
      </c>
      <c r="D170" t="s">
        <v>13</v>
      </c>
      <c r="E170" s="1" t="s">
        <v>841</v>
      </c>
      <c r="F170" t="s">
        <v>345</v>
      </c>
      <c r="G170" t="s">
        <v>52</v>
      </c>
      <c r="H170" t="s">
        <v>39</v>
      </c>
      <c r="I17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17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Jordan Brownjordan.brown2@example.comIndiaTraining: Dashboard Design03:00 AM29AVeganAttendee</v>
      </c>
      <c r="K170" t="str">
        <f>IF(COUNTIF(Clean_Table[Temp ID],Clean_Table[[#This Row],[Temp ID]])&gt;1,"Duplicate","Unique")</f>
        <v>Unique</v>
      </c>
      <c r="L170">
        <f>IF(Clean_Table[[#This Row],[Role]]="VIP",1,0)</f>
        <v>0</v>
      </c>
      <c r="M170">
        <f>IF(Clean_Table[[#This Row],[Role]]="Speaker",1,0)</f>
        <v>0</v>
      </c>
      <c r="N170">
        <f>IF(Clean_Table[[#This Row],[Role]]="Sponsor",1,0)</f>
        <v>0</v>
      </c>
      <c r="O170">
        <f>IF(Clean_Table[[#This Row],[Role]]="Attendee",1,0)</f>
        <v>1</v>
      </c>
      <c r="P170">
        <f>IF(Clean_Table[[#This Row],[Empty Cell Check]]="Missing",1,0)</f>
        <v>0</v>
      </c>
    </row>
    <row r="171" spans="1:16">
      <c r="A171" t="s">
        <v>66</v>
      </c>
      <c r="B171" t="s">
        <v>350</v>
      </c>
      <c r="C171" t="s">
        <v>12</v>
      </c>
      <c r="D171" t="s">
        <v>50</v>
      </c>
      <c r="E171" s="1" t="s">
        <v>844</v>
      </c>
      <c r="F171" t="s">
        <v>345</v>
      </c>
      <c r="G171" t="s">
        <v>15</v>
      </c>
      <c r="H171" t="s">
        <v>39</v>
      </c>
      <c r="I17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17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Allencasey.allen785@example.comUnited StatesWorkshop: Excel Mastery02:00 AM29AVegetarianAttendee</v>
      </c>
      <c r="K171" t="str">
        <f>IF(COUNTIF(Clean_Table[Temp ID],Clean_Table[[#This Row],[Temp ID]])&gt;1,"Duplicate","Unique")</f>
        <v>Unique</v>
      </c>
      <c r="L171">
        <f>IF(Clean_Table[[#This Row],[Role]]="VIP",1,0)</f>
        <v>0</v>
      </c>
      <c r="M171">
        <f>IF(Clean_Table[[#This Row],[Role]]="Speaker",1,0)</f>
        <v>0</v>
      </c>
      <c r="N171">
        <f>IF(Clean_Table[[#This Row],[Role]]="Sponsor",1,0)</f>
        <v>0</v>
      </c>
      <c r="O171">
        <f>IF(Clean_Table[[#This Row],[Role]]="Attendee",1,0)</f>
        <v>1</v>
      </c>
      <c r="P171">
        <f>IF(Clean_Table[[#This Row],[Empty Cell Check]]="Missing",1,0)</f>
        <v>0</v>
      </c>
    </row>
    <row r="172" spans="1:16">
      <c r="A172" t="s">
        <v>10</v>
      </c>
      <c r="B172" t="s">
        <v>351</v>
      </c>
      <c r="C172" t="s">
        <v>810</v>
      </c>
      <c r="D172" t="s">
        <v>79</v>
      </c>
      <c r="E172" s="1" t="s">
        <v>858</v>
      </c>
      <c r="F172" t="s">
        <v>352</v>
      </c>
      <c r="G172" t="s">
        <v>28</v>
      </c>
      <c r="H172" t="s">
        <v>39</v>
      </c>
      <c r="I17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7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Jordan Smithjordan.smith413@example.comPanel: Women in Tech04:00 PM29BKosherAttendee</v>
      </c>
      <c r="K172" t="str">
        <f>IF(COUNTIF(Clean_Table[Temp ID],Clean_Table[[#This Row],[Temp ID]])&gt;1,"Duplicate","Unique")</f>
        <v>Unique</v>
      </c>
      <c r="L172">
        <f>IF(Clean_Table[[#This Row],[Role]]="VIP",1,0)</f>
        <v>0</v>
      </c>
      <c r="M172">
        <f>IF(Clean_Table[[#This Row],[Role]]="Speaker",1,0)</f>
        <v>0</v>
      </c>
      <c r="N172">
        <f>IF(Clean_Table[[#This Row],[Role]]="Sponsor",1,0)</f>
        <v>0</v>
      </c>
      <c r="O172">
        <f>IF(Clean_Table[[#This Row],[Role]]="Attendee",1,0)</f>
        <v>1</v>
      </c>
      <c r="P172">
        <f>IF(Clean_Table[[#This Row],[Empty Cell Check]]="Missing",1,0)</f>
        <v>1</v>
      </c>
    </row>
    <row r="173" spans="1:16">
      <c r="A173" t="s">
        <v>255</v>
      </c>
      <c r="B173" t="s">
        <v>353</v>
      </c>
      <c r="C173" t="s">
        <v>12</v>
      </c>
      <c r="D173" t="s">
        <v>71</v>
      </c>
      <c r="E173" s="2" t="s">
        <v>838</v>
      </c>
      <c r="F173" t="s">
        <v>354</v>
      </c>
      <c r="G173" t="s">
        <v>15</v>
      </c>
      <c r="H173" t="s">
        <v>39</v>
      </c>
      <c r="I17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17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Walkertaylor.walker106@example.comUnited StatesWebinar: AI Ethics03:30 PM29CVegetarianAttendee</v>
      </c>
      <c r="K173" t="str">
        <f>IF(COUNTIF(Clean_Table[Temp ID],Clean_Table[[#This Row],[Temp ID]])&gt;1,"Duplicate","Unique")</f>
        <v>Unique</v>
      </c>
      <c r="L173">
        <f>IF(Clean_Table[[#This Row],[Role]]="VIP",1,0)</f>
        <v>0</v>
      </c>
      <c r="M173">
        <f>IF(Clean_Table[[#This Row],[Role]]="Speaker",1,0)</f>
        <v>0</v>
      </c>
      <c r="N173">
        <f>IF(Clean_Table[[#This Row],[Role]]="Sponsor",1,0)</f>
        <v>0</v>
      </c>
      <c r="O173">
        <f>IF(Clean_Table[[#This Row],[Role]]="Attendee",1,0)</f>
        <v>1</v>
      </c>
      <c r="P173">
        <f>IF(Clean_Table[[#This Row],[Empty Cell Check]]="Missing",1,0)</f>
        <v>0</v>
      </c>
    </row>
    <row r="174" spans="1:16">
      <c r="A174" t="s">
        <v>177</v>
      </c>
      <c r="B174" t="s">
        <v>355</v>
      </c>
      <c r="C174" t="s">
        <v>112</v>
      </c>
      <c r="D174" t="s">
        <v>810</v>
      </c>
      <c r="E174" s="2" t="s">
        <v>845</v>
      </c>
      <c r="F174" t="s">
        <v>354</v>
      </c>
      <c r="G174" t="s">
        <v>52</v>
      </c>
      <c r="H174" t="s">
        <v>39</v>
      </c>
      <c r="I17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7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Brownmorgan.brown471@example.comNigeria02:30 AM29CVeganAttendee</v>
      </c>
      <c r="K174" t="str">
        <f>IF(COUNTIF(Clean_Table[Temp ID],Clean_Table[[#This Row],[Temp ID]])&gt;1,"Duplicate","Unique")</f>
        <v>Unique</v>
      </c>
      <c r="L174">
        <f>IF(Clean_Table[[#This Row],[Role]]="VIP",1,0)</f>
        <v>0</v>
      </c>
      <c r="M174">
        <f>IF(Clean_Table[[#This Row],[Role]]="Speaker",1,0)</f>
        <v>0</v>
      </c>
      <c r="N174">
        <f>IF(Clean_Table[[#This Row],[Role]]="Sponsor",1,0)</f>
        <v>0</v>
      </c>
      <c r="O174">
        <f>IF(Clean_Table[[#This Row],[Role]]="Attendee",1,0)</f>
        <v>1</v>
      </c>
      <c r="P174">
        <f>IF(Clean_Table[[#This Row],[Empty Cell Check]]="Missing",1,0)</f>
        <v>1</v>
      </c>
    </row>
    <row r="175" spans="1:16">
      <c r="A175" t="s">
        <v>119</v>
      </c>
      <c r="B175" t="s">
        <v>356</v>
      </c>
      <c r="C175" t="s">
        <v>55</v>
      </c>
      <c r="D175" t="s">
        <v>50</v>
      </c>
      <c r="E175" s="2" t="s">
        <v>838</v>
      </c>
      <c r="F175" t="s">
        <v>354</v>
      </c>
      <c r="G175" t="s">
        <v>810</v>
      </c>
      <c r="H175" t="s">
        <v>39</v>
      </c>
      <c r="I17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7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Lewismorgan.lewis284@example.comBrazilWorkshop: Excel Mastery03:30 PM29CAttendee</v>
      </c>
      <c r="K175" t="str">
        <f>IF(COUNTIF(Clean_Table[Temp ID],Clean_Table[[#This Row],[Temp ID]])&gt;1,"Duplicate","Unique")</f>
        <v>Unique</v>
      </c>
      <c r="L175">
        <f>IF(Clean_Table[[#This Row],[Role]]="VIP",1,0)</f>
        <v>0</v>
      </c>
      <c r="M175">
        <f>IF(Clean_Table[[#This Row],[Role]]="Speaker",1,0)</f>
        <v>0</v>
      </c>
      <c r="N175">
        <f>IF(Clean_Table[[#This Row],[Role]]="Sponsor",1,0)</f>
        <v>0</v>
      </c>
      <c r="O175">
        <f>IF(Clean_Table[[#This Row],[Role]]="Attendee",1,0)</f>
        <v>1</v>
      </c>
      <c r="P175">
        <f>IF(Clean_Table[[#This Row],[Empty Cell Check]]="Missing",1,0)</f>
        <v>1</v>
      </c>
    </row>
    <row r="176" spans="1:16">
      <c r="A176" t="s">
        <v>239</v>
      </c>
      <c r="B176" t="s">
        <v>357</v>
      </c>
      <c r="C176" t="s">
        <v>810</v>
      </c>
      <c r="D176" t="s">
        <v>13</v>
      </c>
      <c r="E176" s="2" t="s">
        <v>830</v>
      </c>
      <c r="F176" t="s">
        <v>358</v>
      </c>
      <c r="G176" t="s">
        <v>28</v>
      </c>
      <c r="H176" t="s">
        <v>39</v>
      </c>
      <c r="I17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7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Leetaylor.lee656@example.comTraining: Dashboard Design12:00 AM29DKosherAttendee</v>
      </c>
      <c r="K176" t="str">
        <f>IF(COUNTIF(Clean_Table[Temp ID],Clean_Table[[#This Row],[Temp ID]])&gt;1,"Duplicate","Unique")</f>
        <v>Unique</v>
      </c>
      <c r="L176">
        <f>IF(Clean_Table[[#This Row],[Role]]="VIP",1,0)</f>
        <v>0</v>
      </c>
      <c r="M176">
        <f>IF(Clean_Table[[#This Row],[Role]]="Speaker",1,0)</f>
        <v>0</v>
      </c>
      <c r="N176">
        <f>IF(Clean_Table[[#This Row],[Role]]="Sponsor",1,0)</f>
        <v>0</v>
      </c>
      <c r="O176">
        <f>IF(Clean_Table[[#This Row],[Role]]="Attendee",1,0)</f>
        <v>1</v>
      </c>
      <c r="P176">
        <f>IF(Clean_Table[[#This Row],[Empty Cell Check]]="Missing",1,0)</f>
        <v>1</v>
      </c>
    </row>
    <row r="177" spans="1:16">
      <c r="A177" t="s">
        <v>322</v>
      </c>
      <c r="B177" t="s">
        <v>359</v>
      </c>
      <c r="C177" t="s">
        <v>12</v>
      </c>
      <c r="D177" t="s">
        <v>71</v>
      </c>
      <c r="E177" s="2" t="s">
        <v>852</v>
      </c>
      <c r="F177" t="s">
        <v>360</v>
      </c>
      <c r="G177" t="s">
        <v>31</v>
      </c>
      <c r="H177" t="s">
        <v>39</v>
      </c>
      <c r="I17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17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Drew Walkerdrew.walker383@example.comUnited StatesWebinar: AI Ethics09:30 PM2ANoneAttendee</v>
      </c>
      <c r="K177" t="str">
        <f>IF(COUNTIF(Clean_Table[Temp ID],Clean_Table[[#This Row],[Temp ID]])&gt;1,"Duplicate","Unique")</f>
        <v>Unique</v>
      </c>
      <c r="L177">
        <f>IF(Clean_Table[[#This Row],[Role]]="VIP",1,0)</f>
        <v>0</v>
      </c>
      <c r="M177">
        <f>IF(Clean_Table[[#This Row],[Role]]="Speaker",1,0)</f>
        <v>0</v>
      </c>
      <c r="N177">
        <f>IF(Clean_Table[[#This Row],[Role]]="Sponsor",1,0)</f>
        <v>0</v>
      </c>
      <c r="O177">
        <f>IF(Clean_Table[[#This Row],[Role]]="Attendee",1,0)</f>
        <v>1</v>
      </c>
      <c r="P177">
        <f>IF(Clean_Table[[#This Row],[Empty Cell Check]]="Missing",1,0)</f>
        <v>0</v>
      </c>
    </row>
    <row r="178" spans="1:16">
      <c r="A178" t="s">
        <v>346</v>
      </c>
      <c r="B178" t="s">
        <v>361</v>
      </c>
      <c r="C178" t="s">
        <v>101</v>
      </c>
      <c r="D178" t="s">
        <v>810</v>
      </c>
      <c r="E178" s="1" t="s">
        <v>841</v>
      </c>
      <c r="F178" t="s">
        <v>362</v>
      </c>
      <c r="G178" t="s">
        <v>31</v>
      </c>
      <c r="H178" t="s">
        <v>39</v>
      </c>
      <c r="I17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7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Wilsonriley.wilson751@example.comJapan03:00 AM2BNoneAttendee</v>
      </c>
      <c r="K178" t="str">
        <f>IF(COUNTIF(Clean_Table[Temp ID],Clean_Table[[#This Row],[Temp ID]])&gt;1,"Duplicate","Unique")</f>
        <v>Unique</v>
      </c>
      <c r="L178">
        <f>IF(Clean_Table[[#This Row],[Role]]="VIP",1,0)</f>
        <v>0</v>
      </c>
      <c r="M178">
        <f>IF(Clean_Table[[#This Row],[Role]]="Speaker",1,0)</f>
        <v>0</v>
      </c>
      <c r="N178">
        <f>IF(Clean_Table[[#This Row],[Role]]="Sponsor",1,0)</f>
        <v>0</v>
      </c>
      <c r="O178">
        <f>IF(Clean_Table[[#This Row],[Role]]="Attendee",1,0)</f>
        <v>1</v>
      </c>
      <c r="P178">
        <f>IF(Clean_Table[[#This Row],[Empty Cell Check]]="Missing",1,0)</f>
        <v>1</v>
      </c>
    </row>
    <row r="179" spans="1:16">
      <c r="A179" t="s">
        <v>135</v>
      </c>
      <c r="B179" t="s">
        <v>363</v>
      </c>
      <c r="C179" t="s">
        <v>78</v>
      </c>
      <c r="D179" t="s">
        <v>45</v>
      </c>
      <c r="E179" s="1" t="s">
        <v>858</v>
      </c>
      <c r="F179" t="s">
        <v>362</v>
      </c>
      <c r="G179" t="s">
        <v>52</v>
      </c>
      <c r="H179" t="s">
        <v>39</v>
      </c>
      <c r="I17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17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Leemorgan.lee971@example.comAustraliaKeynote: Future of Data04:00 PM2BVeganAttendee</v>
      </c>
      <c r="K179" t="str">
        <f>IF(COUNTIF(Clean_Table[Temp ID],Clean_Table[[#This Row],[Temp ID]])&gt;1,"Duplicate","Unique")</f>
        <v>Unique</v>
      </c>
      <c r="L179">
        <f>IF(Clean_Table[[#This Row],[Role]]="VIP",1,0)</f>
        <v>0</v>
      </c>
      <c r="M179">
        <f>IF(Clean_Table[[#This Row],[Role]]="Speaker",1,0)</f>
        <v>0</v>
      </c>
      <c r="N179">
        <f>IF(Clean_Table[[#This Row],[Role]]="Sponsor",1,0)</f>
        <v>0</v>
      </c>
      <c r="O179">
        <f>IF(Clean_Table[[#This Row],[Role]]="Attendee",1,0)</f>
        <v>1</v>
      </c>
      <c r="P179">
        <f>IF(Clean_Table[[#This Row],[Empty Cell Check]]="Missing",1,0)</f>
        <v>0</v>
      </c>
    </row>
    <row r="180" spans="1:16">
      <c r="A180" t="s">
        <v>35</v>
      </c>
      <c r="B180" t="s">
        <v>364</v>
      </c>
      <c r="C180" t="s">
        <v>78</v>
      </c>
      <c r="D180" t="s">
        <v>79</v>
      </c>
      <c r="E180" s="2" t="s">
        <v>833</v>
      </c>
      <c r="F180" t="s">
        <v>362</v>
      </c>
      <c r="G180" t="s">
        <v>28</v>
      </c>
      <c r="H180" t="s">
        <v>39</v>
      </c>
      <c r="I18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18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Halltaylor.hall376@example.comAustraliaPanel: Women in Tech07:00 AM2BKosherAttendee</v>
      </c>
      <c r="K180" t="str">
        <f>IF(COUNTIF(Clean_Table[Temp ID],Clean_Table[[#This Row],[Temp ID]])&gt;1,"Duplicate","Unique")</f>
        <v>Unique</v>
      </c>
      <c r="L180">
        <f>IF(Clean_Table[[#This Row],[Role]]="VIP",1,0)</f>
        <v>0</v>
      </c>
      <c r="M180">
        <f>IF(Clean_Table[[#This Row],[Role]]="Speaker",1,0)</f>
        <v>0</v>
      </c>
      <c r="N180">
        <f>IF(Clean_Table[[#This Row],[Role]]="Sponsor",1,0)</f>
        <v>0</v>
      </c>
      <c r="O180">
        <f>IF(Clean_Table[[#This Row],[Role]]="Attendee",1,0)</f>
        <v>1</v>
      </c>
      <c r="P180">
        <f>IF(Clean_Table[[#This Row],[Empty Cell Check]]="Missing",1,0)</f>
        <v>0</v>
      </c>
    </row>
    <row r="181" spans="1:16">
      <c r="A181" t="s">
        <v>257</v>
      </c>
      <c r="B181" t="s">
        <v>365</v>
      </c>
      <c r="C181" t="s">
        <v>101</v>
      </c>
      <c r="D181" t="s">
        <v>13</v>
      </c>
      <c r="E181" s="1" t="s">
        <v>858</v>
      </c>
      <c r="F181" t="s">
        <v>362</v>
      </c>
      <c r="G181" t="s">
        <v>31</v>
      </c>
      <c r="H181" t="s">
        <v>39</v>
      </c>
      <c r="I18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18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Walkerjamie.walker922@example.comJapanTraining: Dashboard Design04:00 PM2BNoneAttendee</v>
      </c>
      <c r="K181" t="str">
        <f>IF(COUNTIF(Clean_Table[Temp ID],Clean_Table[[#This Row],[Temp ID]])&gt;1,"Duplicate","Unique")</f>
        <v>Unique</v>
      </c>
      <c r="L181">
        <f>IF(Clean_Table[[#This Row],[Role]]="VIP",1,0)</f>
        <v>0</v>
      </c>
      <c r="M181">
        <f>IF(Clean_Table[[#This Row],[Role]]="Speaker",1,0)</f>
        <v>0</v>
      </c>
      <c r="N181">
        <f>IF(Clean_Table[[#This Row],[Role]]="Sponsor",1,0)</f>
        <v>0</v>
      </c>
      <c r="O181">
        <f>IF(Clean_Table[[#This Row],[Role]]="Attendee",1,0)</f>
        <v>1</v>
      </c>
      <c r="P181">
        <f>IF(Clean_Table[[#This Row],[Empty Cell Check]]="Missing",1,0)</f>
        <v>0</v>
      </c>
    </row>
    <row r="182" spans="1:16">
      <c r="A182" t="s">
        <v>366</v>
      </c>
      <c r="B182" t="s">
        <v>367</v>
      </c>
      <c r="C182" t="s">
        <v>810</v>
      </c>
      <c r="D182" t="s">
        <v>810</v>
      </c>
      <c r="E182" s="2" t="s">
        <v>856</v>
      </c>
      <c r="F182" t="s">
        <v>362</v>
      </c>
      <c r="G182" t="s">
        <v>15</v>
      </c>
      <c r="H182" t="s">
        <v>39</v>
      </c>
      <c r="I18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8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Jordan Johnsonjordan.johnson844@example.com06:00 AM2BVegetarianAttendee</v>
      </c>
      <c r="K182" t="str">
        <f>IF(COUNTIF(Clean_Table[Temp ID],Clean_Table[[#This Row],[Temp ID]])&gt;1,"Duplicate","Unique")</f>
        <v>Unique</v>
      </c>
      <c r="L182">
        <f>IF(Clean_Table[[#This Row],[Role]]="VIP",1,0)</f>
        <v>0</v>
      </c>
      <c r="M182">
        <f>IF(Clean_Table[[#This Row],[Role]]="Speaker",1,0)</f>
        <v>0</v>
      </c>
      <c r="N182">
        <f>IF(Clean_Table[[#This Row],[Role]]="Sponsor",1,0)</f>
        <v>0</v>
      </c>
      <c r="O182">
        <f>IF(Clean_Table[[#This Row],[Role]]="Attendee",1,0)</f>
        <v>1</v>
      </c>
      <c r="P182">
        <f>IF(Clean_Table[[#This Row],[Empty Cell Check]]="Missing",1,0)</f>
        <v>1</v>
      </c>
    </row>
    <row r="183" spans="1:16">
      <c r="A183" t="s">
        <v>368</v>
      </c>
      <c r="B183" t="s">
        <v>369</v>
      </c>
      <c r="C183" t="s">
        <v>68</v>
      </c>
      <c r="D183" t="s">
        <v>45</v>
      </c>
      <c r="E183" s="2" t="s">
        <v>840</v>
      </c>
      <c r="F183" t="s">
        <v>370</v>
      </c>
      <c r="G183" t="s">
        <v>810</v>
      </c>
      <c r="H183" t="s">
        <v>39</v>
      </c>
      <c r="I18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8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Clarkcasey.clark708@example.comIndiaKeynote: Future of Data08:30 AM2CAttendee</v>
      </c>
      <c r="K183" t="str">
        <f>IF(COUNTIF(Clean_Table[Temp ID],Clean_Table[[#This Row],[Temp ID]])&gt;1,"Duplicate","Unique")</f>
        <v>Unique</v>
      </c>
      <c r="L183">
        <f>IF(Clean_Table[[#This Row],[Role]]="VIP",1,0)</f>
        <v>0</v>
      </c>
      <c r="M183">
        <f>IF(Clean_Table[[#This Row],[Role]]="Speaker",1,0)</f>
        <v>0</v>
      </c>
      <c r="N183">
        <f>IF(Clean_Table[[#This Row],[Role]]="Sponsor",1,0)</f>
        <v>0</v>
      </c>
      <c r="O183">
        <f>IF(Clean_Table[[#This Row],[Role]]="Attendee",1,0)</f>
        <v>1</v>
      </c>
      <c r="P183">
        <f>IF(Clean_Table[[#This Row],[Empty Cell Check]]="Missing",1,0)</f>
        <v>1</v>
      </c>
    </row>
    <row r="184" spans="1:16">
      <c r="A184" t="s">
        <v>99</v>
      </c>
      <c r="B184" t="s">
        <v>371</v>
      </c>
      <c r="C184" t="s">
        <v>12</v>
      </c>
      <c r="D184" t="s">
        <v>71</v>
      </c>
      <c r="E184" s="2" t="s">
        <v>851</v>
      </c>
      <c r="F184" t="s">
        <v>372</v>
      </c>
      <c r="G184" t="s">
        <v>810</v>
      </c>
      <c r="H184" t="s">
        <v>39</v>
      </c>
      <c r="I18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8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Drew Lewisdrew.lewis13@example.comUnited StatesWebinar: AI Ethics05:30 PM2DAttendee</v>
      </c>
      <c r="K184" t="str">
        <f>IF(COUNTIF(Clean_Table[Temp ID],Clean_Table[[#This Row],[Temp ID]])&gt;1,"Duplicate","Unique")</f>
        <v>Unique</v>
      </c>
      <c r="L184">
        <f>IF(Clean_Table[[#This Row],[Role]]="VIP",1,0)</f>
        <v>0</v>
      </c>
      <c r="M184">
        <f>IF(Clean_Table[[#This Row],[Role]]="Speaker",1,0)</f>
        <v>0</v>
      </c>
      <c r="N184">
        <f>IF(Clean_Table[[#This Row],[Role]]="Sponsor",1,0)</f>
        <v>0</v>
      </c>
      <c r="O184">
        <f>IF(Clean_Table[[#This Row],[Role]]="Attendee",1,0)</f>
        <v>1</v>
      </c>
      <c r="P184">
        <f>IF(Clean_Table[[#This Row],[Empty Cell Check]]="Missing",1,0)</f>
        <v>1</v>
      </c>
    </row>
    <row r="185" spans="1:16">
      <c r="A185" t="s">
        <v>255</v>
      </c>
      <c r="B185" t="s">
        <v>373</v>
      </c>
      <c r="C185" t="s">
        <v>112</v>
      </c>
      <c r="D185" t="s">
        <v>810</v>
      </c>
      <c r="E185" s="1" t="s">
        <v>841</v>
      </c>
      <c r="F185" t="s">
        <v>374</v>
      </c>
      <c r="G185" t="s">
        <v>91</v>
      </c>
      <c r="H185" t="s">
        <v>39</v>
      </c>
      <c r="I18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8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Walkertaylor.walker713@example.comNigeria03:00 AM30AHalalAttendee</v>
      </c>
      <c r="K185" t="str">
        <f>IF(COUNTIF(Clean_Table[Temp ID],Clean_Table[[#This Row],[Temp ID]])&gt;1,"Duplicate","Unique")</f>
        <v>Unique</v>
      </c>
      <c r="L185">
        <f>IF(Clean_Table[[#This Row],[Role]]="VIP",1,0)</f>
        <v>0</v>
      </c>
      <c r="M185">
        <f>IF(Clean_Table[[#This Row],[Role]]="Speaker",1,0)</f>
        <v>0</v>
      </c>
      <c r="N185">
        <f>IF(Clean_Table[[#This Row],[Role]]="Sponsor",1,0)</f>
        <v>0</v>
      </c>
      <c r="O185">
        <f>IF(Clean_Table[[#This Row],[Role]]="Attendee",1,0)</f>
        <v>1</v>
      </c>
      <c r="P185">
        <f>IF(Clean_Table[[#This Row],[Empty Cell Check]]="Missing",1,0)</f>
        <v>1</v>
      </c>
    </row>
    <row r="186" spans="1:16">
      <c r="A186" t="s">
        <v>17</v>
      </c>
      <c r="B186" t="s">
        <v>375</v>
      </c>
      <c r="C186" t="s">
        <v>96</v>
      </c>
      <c r="D186" t="s">
        <v>45</v>
      </c>
      <c r="E186" s="1" t="s">
        <v>823</v>
      </c>
      <c r="F186" t="s">
        <v>374</v>
      </c>
      <c r="G186" t="s">
        <v>810</v>
      </c>
      <c r="H186" t="s">
        <v>39</v>
      </c>
      <c r="I18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8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Allenriley.allen482@example.comUnited KingdomKeynote: Future of Data05:30 AM30AAttendee</v>
      </c>
      <c r="K186" t="str">
        <f>IF(COUNTIF(Clean_Table[Temp ID],Clean_Table[[#This Row],[Temp ID]])&gt;1,"Duplicate","Unique")</f>
        <v>Unique</v>
      </c>
      <c r="L186">
        <f>IF(Clean_Table[[#This Row],[Role]]="VIP",1,0)</f>
        <v>0</v>
      </c>
      <c r="M186">
        <f>IF(Clean_Table[[#This Row],[Role]]="Speaker",1,0)</f>
        <v>0</v>
      </c>
      <c r="N186">
        <f>IF(Clean_Table[[#This Row],[Role]]="Sponsor",1,0)</f>
        <v>0</v>
      </c>
      <c r="O186">
        <f>IF(Clean_Table[[#This Row],[Role]]="Attendee",1,0)</f>
        <v>1</v>
      </c>
      <c r="P186">
        <f>IF(Clean_Table[[#This Row],[Empty Cell Check]]="Missing",1,0)</f>
        <v>1</v>
      </c>
    </row>
    <row r="187" spans="1:16">
      <c r="A187" t="s">
        <v>183</v>
      </c>
      <c r="B187" t="s">
        <v>376</v>
      </c>
      <c r="C187" t="s">
        <v>34</v>
      </c>
      <c r="D187" t="s">
        <v>45</v>
      </c>
      <c r="E187" s="2" t="s">
        <v>841</v>
      </c>
      <c r="F187" t="s">
        <v>374</v>
      </c>
      <c r="G187" t="s">
        <v>15</v>
      </c>
      <c r="H187" t="s">
        <v>39</v>
      </c>
      <c r="I18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18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Walkermorgan.walker829@example.comGermanyKeynote: Future of Data03:00 AM30AVegetarianAttendee</v>
      </c>
      <c r="K187" t="str">
        <f>IF(COUNTIF(Clean_Table[Temp ID],Clean_Table[[#This Row],[Temp ID]])&gt;1,"Duplicate","Unique")</f>
        <v>Unique</v>
      </c>
      <c r="L187">
        <f>IF(Clean_Table[[#This Row],[Role]]="VIP",1,0)</f>
        <v>0</v>
      </c>
      <c r="M187">
        <f>IF(Clean_Table[[#This Row],[Role]]="Speaker",1,0)</f>
        <v>0</v>
      </c>
      <c r="N187">
        <f>IF(Clean_Table[[#This Row],[Role]]="Sponsor",1,0)</f>
        <v>0</v>
      </c>
      <c r="O187">
        <f>IF(Clean_Table[[#This Row],[Role]]="Attendee",1,0)</f>
        <v>1</v>
      </c>
      <c r="P187">
        <f>IF(Clean_Table[[#This Row],[Empty Cell Check]]="Missing",1,0)</f>
        <v>0</v>
      </c>
    </row>
    <row r="188" spans="1:16">
      <c r="A188" t="s">
        <v>190</v>
      </c>
      <c r="B188" t="s">
        <v>377</v>
      </c>
      <c r="C188" t="s">
        <v>37</v>
      </c>
      <c r="D188" t="s">
        <v>810</v>
      </c>
      <c r="E188" s="1" t="s">
        <v>838</v>
      </c>
      <c r="F188" t="s">
        <v>378</v>
      </c>
      <c r="G188" t="s">
        <v>91</v>
      </c>
      <c r="H188" t="s">
        <v>39</v>
      </c>
      <c r="I18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8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Johnsoncasey.johnson465@example.comCanada03:30 PM30BHalalAttendee</v>
      </c>
      <c r="K188" t="str">
        <f>IF(COUNTIF(Clean_Table[Temp ID],Clean_Table[[#This Row],[Temp ID]])&gt;1,"Duplicate","Unique")</f>
        <v>Unique</v>
      </c>
      <c r="L188">
        <f>IF(Clean_Table[[#This Row],[Role]]="VIP",1,0)</f>
        <v>0</v>
      </c>
      <c r="M188">
        <f>IF(Clean_Table[[#This Row],[Role]]="Speaker",1,0)</f>
        <v>0</v>
      </c>
      <c r="N188">
        <f>IF(Clean_Table[[#This Row],[Role]]="Sponsor",1,0)</f>
        <v>0</v>
      </c>
      <c r="O188">
        <f>IF(Clean_Table[[#This Row],[Role]]="Attendee",1,0)</f>
        <v>1</v>
      </c>
      <c r="P188">
        <f>IF(Clean_Table[[#This Row],[Empty Cell Check]]="Missing",1,0)</f>
        <v>1</v>
      </c>
    </row>
    <row r="189" spans="1:16">
      <c r="A189" t="s">
        <v>250</v>
      </c>
      <c r="B189" t="s">
        <v>379</v>
      </c>
      <c r="C189" t="s">
        <v>68</v>
      </c>
      <c r="D189" t="s">
        <v>79</v>
      </c>
      <c r="E189" s="2" t="s">
        <v>814</v>
      </c>
      <c r="F189" t="s">
        <v>380</v>
      </c>
      <c r="G189" t="s">
        <v>31</v>
      </c>
      <c r="H189" t="s">
        <v>39</v>
      </c>
      <c r="I18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18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Smithriley.smith378@example.comIndiaPanel: Women in Tech11:00 PM30CNoneAttendee</v>
      </c>
      <c r="K189" t="str">
        <f>IF(COUNTIF(Clean_Table[Temp ID],Clean_Table[[#This Row],[Temp ID]])&gt;1,"Duplicate","Unique")</f>
        <v>Unique</v>
      </c>
      <c r="L189">
        <f>IF(Clean_Table[[#This Row],[Role]]="VIP",1,0)</f>
        <v>0</v>
      </c>
      <c r="M189">
        <f>IF(Clean_Table[[#This Row],[Role]]="Speaker",1,0)</f>
        <v>0</v>
      </c>
      <c r="N189">
        <f>IF(Clean_Table[[#This Row],[Role]]="Sponsor",1,0)</f>
        <v>0</v>
      </c>
      <c r="O189">
        <f>IF(Clean_Table[[#This Row],[Role]]="Attendee",1,0)</f>
        <v>1</v>
      </c>
      <c r="P189">
        <f>IF(Clean_Table[[#This Row],[Empty Cell Check]]="Missing",1,0)</f>
        <v>0</v>
      </c>
    </row>
    <row r="190" spans="1:16">
      <c r="A190" t="s">
        <v>381</v>
      </c>
      <c r="B190" t="s">
        <v>382</v>
      </c>
      <c r="C190" t="s">
        <v>68</v>
      </c>
      <c r="D190" t="s">
        <v>71</v>
      </c>
      <c r="E190" s="2" t="s">
        <v>821</v>
      </c>
      <c r="F190" t="s">
        <v>380</v>
      </c>
      <c r="G190" t="s">
        <v>91</v>
      </c>
      <c r="H190" t="s">
        <v>39</v>
      </c>
      <c r="I19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19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Jesse Wilsonjesse.wilson407@example.comIndiaWebinar: AI Ethics09:30 AM30CHalalAttendee</v>
      </c>
      <c r="K190" t="str">
        <f>IF(COUNTIF(Clean_Table[Temp ID],Clean_Table[[#This Row],[Temp ID]])&gt;1,"Duplicate","Unique")</f>
        <v>Unique</v>
      </c>
      <c r="L190">
        <f>IF(Clean_Table[[#This Row],[Role]]="VIP",1,0)</f>
        <v>0</v>
      </c>
      <c r="M190">
        <f>IF(Clean_Table[[#This Row],[Role]]="Speaker",1,0)</f>
        <v>0</v>
      </c>
      <c r="N190">
        <f>IF(Clean_Table[[#This Row],[Role]]="Sponsor",1,0)</f>
        <v>0</v>
      </c>
      <c r="O190">
        <f>IF(Clean_Table[[#This Row],[Role]]="Attendee",1,0)</f>
        <v>1</v>
      </c>
      <c r="P190">
        <f>IF(Clean_Table[[#This Row],[Empty Cell Check]]="Missing",1,0)</f>
        <v>0</v>
      </c>
    </row>
    <row r="191" spans="1:16">
      <c r="A191" t="s">
        <v>59</v>
      </c>
      <c r="B191" t="s">
        <v>383</v>
      </c>
      <c r="C191" t="s">
        <v>112</v>
      </c>
      <c r="D191" t="s">
        <v>50</v>
      </c>
      <c r="E191" s="1" t="s">
        <v>851</v>
      </c>
      <c r="F191" t="s">
        <v>380</v>
      </c>
      <c r="G191" t="s">
        <v>91</v>
      </c>
      <c r="H191" t="s">
        <v>39</v>
      </c>
      <c r="I19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19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Leecasey.lee888@example.comNigeriaWorkshop: Excel Mastery05:30 PM30CHalalAttendee</v>
      </c>
      <c r="K191" t="str">
        <f>IF(COUNTIF(Clean_Table[Temp ID],Clean_Table[[#This Row],[Temp ID]])&gt;1,"Duplicate","Unique")</f>
        <v>Unique</v>
      </c>
      <c r="L191">
        <f>IF(Clean_Table[[#This Row],[Role]]="VIP",1,0)</f>
        <v>0</v>
      </c>
      <c r="M191">
        <f>IF(Clean_Table[[#This Row],[Role]]="Speaker",1,0)</f>
        <v>0</v>
      </c>
      <c r="N191">
        <f>IF(Clean_Table[[#This Row],[Role]]="Sponsor",1,0)</f>
        <v>0</v>
      </c>
      <c r="O191">
        <f>IF(Clean_Table[[#This Row],[Role]]="Attendee",1,0)</f>
        <v>1</v>
      </c>
      <c r="P191">
        <f>IF(Clean_Table[[#This Row],[Empty Cell Check]]="Missing",1,0)</f>
        <v>0</v>
      </c>
    </row>
    <row r="192" spans="1:16">
      <c r="A192" t="s">
        <v>307</v>
      </c>
      <c r="B192" t="s">
        <v>384</v>
      </c>
      <c r="C192" t="s">
        <v>78</v>
      </c>
      <c r="D192" t="s">
        <v>45</v>
      </c>
      <c r="E192" s="2" t="s">
        <v>850</v>
      </c>
      <c r="F192" t="s">
        <v>380</v>
      </c>
      <c r="G192" t="s">
        <v>810</v>
      </c>
      <c r="H192" t="s">
        <v>39</v>
      </c>
      <c r="I19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9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Drew Clarkdrew.clark93@example.comAustraliaKeynote: Future of Data05:00 PM30CAttendee</v>
      </c>
      <c r="K192" t="str">
        <f>IF(COUNTIF(Clean_Table[Temp ID],Clean_Table[[#This Row],[Temp ID]])&gt;1,"Duplicate","Unique")</f>
        <v>Unique</v>
      </c>
      <c r="L192">
        <f>IF(Clean_Table[[#This Row],[Role]]="VIP",1,0)</f>
        <v>0</v>
      </c>
      <c r="M192">
        <f>IF(Clean_Table[[#This Row],[Role]]="Speaker",1,0)</f>
        <v>0</v>
      </c>
      <c r="N192">
        <f>IF(Clean_Table[[#This Row],[Role]]="Sponsor",1,0)</f>
        <v>0</v>
      </c>
      <c r="O192">
        <f>IF(Clean_Table[[#This Row],[Role]]="Attendee",1,0)</f>
        <v>1</v>
      </c>
      <c r="P192">
        <f>IF(Clean_Table[[#This Row],[Empty Cell Check]]="Missing",1,0)</f>
        <v>1</v>
      </c>
    </row>
    <row r="193" spans="1:16">
      <c r="A193" t="s">
        <v>88</v>
      </c>
      <c r="B193" t="s">
        <v>385</v>
      </c>
      <c r="C193" t="s">
        <v>12</v>
      </c>
      <c r="D193" t="s">
        <v>810</v>
      </c>
      <c r="E193" s="2" t="s">
        <v>833</v>
      </c>
      <c r="F193" t="s">
        <v>380</v>
      </c>
      <c r="G193" t="s">
        <v>91</v>
      </c>
      <c r="H193" t="s">
        <v>39</v>
      </c>
      <c r="I19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9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Jordan Lewisjordan.lewis894@example.comUnited States07:00 AM30CHalalAttendee</v>
      </c>
      <c r="K193" t="str">
        <f>IF(COUNTIF(Clean_Table[Temp ID],Clean_Table[[#This Row],[Temp ID]])&gt;1,"Duplicate","Unique")</f>
        <v>Unique</v>
      </c>
      <c r="L193">
        <f>IF(Clean_Table[[#This Row],[Role]]="VIP",1,0)</f>
        <v>0</v>
      </c>
      <c r="M193">
        <f>IF(Clean_Table[[#This Row],[Role]]="Speaker",1,0)</f>
        <v>0</v>
      </c>
      <c r="N193">
        <f>IF(Clean_Table[[#This Row],[Role]]="Sponsor",1,0)</f>
        <v>0</v>
      </c>
      <c r="O193">
        <f>IF(Clean_Table[[#This Row],[Role]]="Attendee",1,0)</f>
        <v>1</v>
      </c>
      <c r="P193">
        <f>IF(Clean_Table[[#This Row],[Empty Cell Check]]="Missing",1,0)</f>
        <v>1</v>
      </c>
    </row>
    <row r="194" spans="1:16">
      <c r="A194" t="s">
        <v>386</v>
      </c>
      <c r="B194" t="s">
        <v>387</v>
      </c>
      <c r="C194" t="s">
        <v>96</v>
      </c>
      <c r="D194" t="s">
        <v>50</v>
      </c>
      <c r="E194" s="2" t="s">
        <v>831</v>
      </c>
      <c r="F194" t="s">
        <v>388</v>
      </c>
      <c r="G194" t="s">
        <v>28</v>
      </c>
      <c r="H194" t="s">
        <v>39</v>
      </c>
      <c r="I19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19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Drew Smithdrew.smith312@example.comUnited KingdomWorkshop: Excel Mastery06:30 PM30DKosherAttendee</v>
      </c>
      <c r="K194" t="str">
        <f>IF(COUNTIF(Clean_Table[Temp ID],Clean_Table[[#This Row],[Temp ID]])&gt;1,"Duplicate","Unique")</f>
        <v>Unique</v>
      </c>
      <c r="L194">
        <f>IF(Clean_Table[[#This Row],[Role]]="VIP",1,0)</f>
        <v>0</v>
      </c>
      <c r="M194">
        <f>IF(Clean_Table[[#This Row],[Role]]="Speaker",1,0)</f>
        <v>0</v>
      </c>
      <c r="N194">
        <f>IF(Clean_Table[[#This Row],[Role]]="Sponsor",1,0)</f>
        <v>0</v>
      </c>
      <c r="O194">
        <f>IF(Clean_Table[[#This Row],[Role]]="Attendee",1,0)</f>
        <v>1</v>
      </c>
      <c r="P194">
        <f>IF(Clean_Table[[#This Row],[Empty Cell Check]]="Missing",1,0)</f>
        <v>0</v>
      </c>
    </row>
    <row r="195" spans="1:16">
      <c r="A195" t="s">
        <v>389</v>
      </c>
      <c r="B195" t="s">
        <v>390</v>
      </c>
      <c r="C195" t="s">
        <v>810</v>
      </c>
      <c r="D195" t="s">
        <v>71</v>
      </c>
      <c r="E195" s="2" t="s">
        <v>815</v>
      </c>
      <c r="F195" t="s">
        <v>388</v>
      </c>
      <c r="G195" t="s">
        <v>52</v>
      </c>
      <c r="H195" t="s">
        <v>39</v>
      </c>
      <c r="I19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9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Johnsontaylor.johnson640@example.comWebinar: AI Ethics12:30 PM30DVeganAttendee</v>
      </c>
      <c r="K195" t="str">
        <f>IF(COUNTIF(Clean_Table[Temp ID],Clean_Table[[#This Row],[Temp ID]])&gt;1,"Duplicate","Unique")</f>
        <v>Unique</v>
      </c>
      <c r="L195">
        <f>IF(Clean_Table[[#This Row],[Role]]="VIP",1,0)</f>
        <v>0</v>
      </c>
      <c r="M195">
        <f>IF(Clean_Table[[#This Row],[Role]]="Speaker",1,0)</f>
        <v>0</v>
      </c>
      <c r="N195">
        <f>IF(Clean_Table[[#This Row],[Role]]="Sponsor",1,0)</f>
        <v>0</v>
      </c>
      <c r="O195">
        <f>IF(Clean_Table[[#This Row],[Role]]="Attendee",1,0)</f>
        <v>1</v>
      </c>
      <c r="P195">
        <f>IF(Clean_Table[[#This Row],[Empty Cell Check]]="Missing",1,0)</f>
        <v>1</v>
      </c>
    </row>
    <row r="196" spans="1:16">
      <c r="A196" t="s">
        <v>307</v>
      </c>
      <c r="B196" t="s">
        <v>391</v>
      </c>
      <c r="C196" t="s">
        <v>810</v>
      </c>
      <c r="D196" t="s">
        <v>71</v>
      </c>
      <c r="E196" s="2" t="s">
        <v>839</v>
      </c>
      <c r="F196" t="s">
        <v>392</v>
      </c>
      <c r="G196" t="s">
        <v>91</v>
      </c>
      <c r="H196" t="s">
        <v>39</v>
      </c>
      <c r="I19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9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Drew Clarkdrew.clark575@example.comWebinar: AI Ethics09:00 AM31AHalalAttendee</v>
      </c>
      <c r="K196" t="str">
        <f>IF(COUNTIF(Clean_Table[Temp ID],Clean_Table[[#This Row],[Temp ID]])&gt;1,"Duplicate","Unique")</f>
        <v>Unique</v>
      </c>
      <c r="L196">
        <f>IF(Clean_Table[[#This Row],[Role]]="VIP",1,0)</f>
        <v>0</v>
      </c>
      <c r="M196">
        <f>IF(Clean_Table[[#This Row],[Role]]="Speaker",1,0)</f>
        <v>0</v>
      </c>
      <c r="N196">
        <f>IF(Clean_Table[[#This Row],[Role]]="Sponsor",1,0)</f>
        <v>0</v>
      </c>
      <c r="O196">
        <f>IF(Clean_Table[[#This Row],[Role]]="Attendee",1,0)</f>
        <v>1</v>
      </c>
      <c r="P196">
        <f>IF(Clean_Table[[#This Row],[Empty Cell Check]]="Missing",1,0)</f>
        <v>1</v>
      </c>
    </row>
    <row r="197" spans="1:16">
      <c r="A197" t="s">
        <v>393</v>
      </c>
      <c r="B197" t="s">
        <v>394</v>
      </c>
      <c r="C197" t="s">
        <v>101</v>
      </c>
      <c r="D197" t="s">
        <v>71</v>
      </c>
      <c r="E197" s="2" t="s">
        <v>849</v>
      </c>
      <c r="F197" t="s">
        <v>392</v>
      </c>
      <c r="G197" t="s">
        <v>91</v>
      </c>
      <c r="H197" t="s">
        <v>39</v>
      </c>
      <c r="I19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19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Halljamie.hall849@example.comJapanWebinar: AI Ethics10:30 PM31AHalalAttendee</v>
      </c>
      <c r="K197" t="str">
        <f>IF(COUNTIF(Clean_Table[Temp ID],Clean_Table[[#This Row],[Temp ID]])&gt;1,"Duplicate","Unique")</f>
        <v>Unique</v>
      </c>
      <c r="L197">
        <f>IF(Clean_Table[[#This Row],[Role]]="VIP",1,0)</f>
        <v>0</v>
      </c>
      <c r="M197">
        <f>IF(Clean_Table[[#This Row],[Role]]="Speaker",1,0)</f>
        <v>0</v>
      </c>
      <c r="N197">
        <f>IF(Clean_Table[[#This Row],[Role]]="Sponsor",1,0)</f>
        <v>0</v>
      </c>
      <c r="O197">
        <f>IF(Clean_Table[[#This Row],[Role]]="Attendee",1,0)</f>
        <v>1</v>
      </c>
      <c r="P197">
        <f>IF(Clean_Table[[#This Row],[Empty Cell Check]]="Missing",1,0)</f>
        <v>0</v>
      </c>
    </row>
    <row r="198" spans="1:16">
      <c r="A198" t="s">
        <v>164</v>
      </c>
      <c r="B198" t="s">
        <v>395</v>
      </c>
      <c r="C198" t="s">
        <v>810</v>
      </c>
      <c r="D198" t="s">
        <v>50</v>
      </c>
      <c r="E198" s="1" t="s">
        <v>835</v>
      </c>
      <c r="F198" t="s">
        <v>392</v>
      </c>
      <c r="G198" t="s">
        <v>810</v>
      </c>
      <c r="H198" t="s">
        <v>39</v>
      </c>
      <c r="I19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19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Alex Hallalex.hall232@example.comWorkshop: Excel Mastery02:30 PM31AAttendee</v>
      </c>
      <c r="K198" t="str">
        <f>IF(COUNTIF(Clean_Table[Temp ID],Clean_Table[[#This Row],[Temp ID]])&gt;1,"Duplicate","Unique")</f>
        <v>Unique</v>
      </c>
      <c r="L198">
        <f>IF(Clean_Table[[#This Row],[Role]]="VIP",1,0)</f>
        <v>0</v>
      </c>
      <c r="M198">
        <f>IF(Clean_Table[[#This Row],[Role]]="Speaker",1,0)</f>
        <v>0</v>
      </c>
      <c r="N198">
        <f>IF(Clean_Table[[#This Row],[Role]]="Sponsor",1,0)</f>
        <v>0</v>
      </c>
      <c r="O198">
        <f>IF(Clean_Table[[#This Row],[Role]]="Attendee",1,0)</f>
        <v>1</v>
      </c>
      <c r="P198">
        <f>IF(Clean_Table[[#This Row],[Empty Cell Check]]="Missing",1,0)</f>
        <v>1</v>
      </c>
    </row>
    <row r="199" spans="1:16">
      <c r="A199" t="s">
        <v>396</v>
      </c>
      <c r="B199" t="s">
        <v>397</v>
      </c>
      <c r="C199" t="s">
        <v>34</v>
      </c>
      <c r="D199" t="s">
        <v>13</v>
      </c>
      <c r="E199" s="2" t="s">
        <v>855</v>
      </c>
      <c r="F199" t="s">
        <v>392</v>
      </c>
      <c r="G199" t="s">
        <v>91</v>
      </c>
      <c r="H199" t="s">
        <v>39</v>
      </c>
      <c r="I19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19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Leeriley.lee65@example.comGermanyTraining: Dashboard Design01:30 PM31AHalalAttendee</v>
      </c>
      <c r="K199" t="str">
        <f>IF(COUNTIF(Clean_Table[Temp ID],Clean_Table[[#This Row],[Temp ID]])&gt;1,"Duplicate","Unique")</f>
        <v>Unique</v>
      </c>
      <c r="L199">
        <f>IF(Clean_Table[[#This Row],[Role]]="VIP",1,0)</f>
        <v>0</v>
      </c>
      <c r="M199">
        <f>IF(Clean_Table[[#This Row],[Role]]="Speaker",1,0)</f>
        <v>0</v>
      </c>
      <c r="N199">
        <f>IF(Clean_Table[[#This Row],[Role]]="Sponsor",1,0)</f>
        <v>0</v>
      </c>
      <c r="O199">
        <f>IF(Clean_Table[[#This Row],[Role]]="Attendee",1,0)</f>
        <v>1</v>
      </c>
      <c r="P199">
        <f>IF(Clean_Table[[#This Row],[Empty Cell Check]]="Missing",1,0)</f>
        <v>0</v>
      </c>
    </row>
    <row r="200" spans="1:16">
      <c r="A200" t="s">
        <v>10</v>
      </c>
      <c r="B200" t="s">
        <v>398</v>
      </c>
      <c r="C200" t="s">
        <v>12</v>
      </c>
      <c r="D200" t="s">
        <v>50</v>
      </c>
      <c r="E200" s="1" t="s">
        <v>816</v>
      </c>
      <c r="F200" t="s">
        <v>392</v>
      </c>
      <c r="G200" t="s">
        <v>31</v>
      </c>
      <c r="H200" t="s">
        <v>39</v>
      </c>
      <c r="I20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0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Jordan Smithjordan.smith773@example.comUnited StatesWorkshop: Excel Mastery01:00 PM31ANoneAttendee</v>
      </c>
      <c r="K200" t="str">
        <f>IF(COUNTIF(Clean_Table[Temp ID],Clean_Table[[#This Row],[Temp ID]])&gt;1,"Duplicate","Unique")</f>
        <v>Unique</v>
      </c>
      <c r="L200">
        <f>IF(Clean_Table[[#This Row],[Role]]="VIP",1,0)</f>
        <v>0</v>
      </c>
      <c r="M200">
        <f>IF(Clean_Table[[#This Row],[Role]]="Speaker",1,0)</f>
        <v>0</v>
      </c>
      <c r="N200">
        <f>IF(Clean_Table[[#This Row],[Role]]="Sponsor",1,0)</f>
        <v>0</v>
      </c>
      <c r="O200">
        <f>IF(Clean_Table[[#This Row],[Role]]="Attendee",1,0)</f>
        <v>1</v>
      </c>
      <c r="P200">
        <f>IF(Clean_Table[[#This Row],[Empty Cell Check]]="Missing",1,0)</f>
        <v>0</v>
      </c>
    </row>
    <row r="201" spans="1:16">
      <c r="A201" t="s">
        <v>330</v>
      </c>
      <c r="B201" t="s">
        <v>399</v>
      </c>
      <c r="C201" t="s">
        <v>810</v>
      </c>
      <c r="D201" t="s">
        <v>71</v>
      </c>
      <c r="E201" s="2" t="s">
        <v>859</v>
      </c>
      <c r="F201" t="s">
        <v>400</v>
      </c>
      <c r="G201" t="s">
        <v>810</v>
      </c>
      <c r="H201" t="s">
        <v>39</v>
      </c>
      <c r="I20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0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Alex Walkeralex.walker911@example.comWebinar: AI Ethics08:30 PM31BAttendee</v>
      </c>
      <c r="K201" t="str">
        <f>IF(COUNTIF(Clean_Table[Temp ID],Clean_Table[[#This Row],[Temp ID]])&gt;1,"Duplicate","Unique")</f>
        <v>Unique</v>
      </c>
      <c r="L201">
        <f>IF(Clean_Table[[#This Row],[Role]]="VIP",1,0)</f>
        <v>0</v>
      </c>
      <c r="M201">
        <f>IF(Clean_Table[[#This Row],[Role]]="Speaker",1,0)</f>
        <v>0</v>
      </c>
      <c r="N201">
        <f>IF(Clean_Table[[#This Row],[Role]]="Sponsor",1,0)</f>
        <v>0</v>
      </c>
      <c r="O201">
        <f>IF(Clean_Table[[#This Row],[Role]]="Attendee",1,0)</f>
        <v>1</v>
      </c>
      <c r="P201">
        <f>IF(Clean_Table[[#This Row],[Empty Cell Check]]="Missing",1,0)</f>
        <v>1</v>
      </c>
    </row>
    <row r="202" spans="1:16">
      <c r="A202" t="s">
        <v>73</v>
      </c>
      <c r="B202" t="s">
        <v>401</v>
      </c>
      <c r="C202" t="s">
        <v>101</v>
      </c>
      <c r="D202" t="s">
        <v>50</v>
      </c>
      <c r="E202" s="2" t="s">
        <v>859</v>
      </c>
      <c r="F202" t="s">
        <v>400</v>
      </c>
      <c r="G202" t="s">
        <v>810</v>
      </c>
      <c r="H202" t="s">
        <v>39</v>
      </c>
      <c r="I20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0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Smithtaylor.smith988@example.comJapanWorkshop: Excel Mastery08:30 PM31BAttendee</v>
      </c>
      <c r="K202" t="str">
        <f>IF(COUNTIF(Clean_Table[Temp ID],Clean_Table[[#This Row],[Temp ID]])&gt;1,"Duplicate","Unique")</f>
        <v>Unique</v>
      </c>
      <c r="L202">
        <f>IF(Clean_Table[[#This Row],[Role]]="VIP",1,0)</f>
        <v>0</v>
      </c>
      <c r="M202">
        <f>IF(Clean_Table[[#This Row],[Role]]="Speaker",1,0)</f>
        <v>0</v>
      </c>
      <c r="N202">
        <f>IF(Clean_Table[[#This Row],[Role]]="Sponsor",1,0)</f>
        <v>0</v>
      </c>
      <c r="O202">
        <f>IF(Clean_Table[[#This Row],[Role]]="Attendee",1,0)</f>
        <v>1</v>
      </c>
      <c r="P202">
        <f>IF(Clean_Table[[#This Row],[Empty Cell Check]]="Missing",1,0)</f>
        <v>1</v>
      </c>
    </row>
    <row r="203" spans="1:16">
      <c r="A203" t="s">
        <v>211</v>
      </c>
      <c r="B203" t="s">
        <v>402</v>
      </c>
      <c r="C203" t="s">
        <v>112</v>
      </c>
      <c r="D203" t="s">
        <v>50</v>
      </c>
      <c r="E203" s="1" t="s">
        <v>815</v>
      </c>
      <c r="F203" t="s">
        <v>403</v>
      </c>
      <c r="G203" t="s">
        <v>15</v>
      </c>
      <c r="H203" t="s">
        <v>39</v>
      </c>
      <c r="I20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0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Johnsonmorgan.johnson686@example.comNigeriaWorkshop: Excel Mastery12:30 PM31DVegetarianAttendee</v>
      </c>
      <c r="K203" t="str">
        <f>IF(COUNTIF(Clean_Table[Temp ID],Clean_Table[[#This Row],[Temp ID]])&gt;1,"Duplicate","Unique")</f>
        <v>Unique</v>
      </c>
      <c r="L203">
        <f>IF(Clean_Table[[#This Row],[Role]]="VIP",1,0)</f>
        <v>0</v>
      </c>
      <c r="M203">
        <f>IF(Clean_Table[[#This Row],[Role]]="Speaker",1,0)</f>
        <v>0</v>
      </c>
      <c r="N203">
        <f>IF(Clean_Table[[#This Row],[Role]]="Sponsor",1,0)</f>
        <v>0</v>
      </c>
      <c r="O203">
        <f>IF(Clean_Table[[#This Row],[Role]]="Attendee",1,0)</f>
        <v>1</v>
      </c>
      <c r="P203">
        <f>IF(Clean_Table[[#This Row],[Empty Cell Check]]="Missing",1,0)</f>
        <v>0</v>
      </c>
    </row>
    <row r="204" spans="1:16">
      <c r="A204" t="s">
        <v>127</v>
      </c>
      <c r="B204" t="s">
        <v>404</v>
      </c>
      <c r="C204" t="s">
        <v>810</v>
      </c>
      <c r="D204" t="s">
        <v>810</v>
      </c>
      <c r="E204" s="1" t="s">
        <v>820</v>
      </c>
      <c r="F204" t="s">
        <v>405</v>
      </c>
      <c r="G204" t="s">
        <v>28</v>
      </c>
      <c r="H204" t="s">
        <v>39</v>
      </c>
      <c r="I20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0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Lewiscasey.lewis552@example.com08:00 PM32AKosherAttendee</v>
      </c>
      <c r="K204" t="str">
        <f>IF(COUNTIF(Clean_Table[Temp ID],Clean_Table[[#This Row],[Temp ID]])&gt;1,"Duplicate","Unique")</f>
        <v>Unique</v>
      </c>
      <c r="L204">
        <f>IF(Clean_Table[[#This Row],[Role]]="VIP",1,0)</f>
        <v>0</v>
      </c>
      <c r="M204">
        <f>IF(Clean_Table[[#This Row],[Role]]="Speaker",1,0)</f>
        <v>0</v>
      </c>
      <c r="N204">
        <f>IF(Clean_Table[[#This Row],[Role]]="Sponsor",1,0)</f>
        <v>0</v>
      </c>
      <c r="O204">
        <f>IF(Clean_Table[[#This Row],[Role]]="Attendee",1,0)</f>
        <v>1</v>
      </c>
      <c r="P204">
        <f>IF(Clean_Table[[#This Row],[Empty Cell Check]]="Missing",1,0)</f>
        <v>1</v>
      </c>
    </row>
    <row r="205" spans="1:16">
      <c r="A205" t="s">
        <v>121</v>
      </c>
      <c r="B205" t="s">
        <v>406</v>
      </c>
      <c r="C205" t="s">
        <v>55</v>
      </c>
      <c r="D205" t="s">
        <v>71</v>
      </c>
      <c r="E205" s="1" t="s">
        <v>814</v>
      </c>
      <c r="F205" t="s">
        <v>405</v>
      </c>
      <c r="G205" t="s">
        <v>28</v>
      </c>
      <c r="H205" t="s">
        <v>39</v>
      </c>
      <c r="I20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0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Jesse Lewisjesse.lewis798@example.comBrazilWebinar: AI Ethics11:00 PM32AKosherAttendee</v>
      </c>
      <c r="K205" t="str">
        <f>IF(COUNTIF(Clean_Table[Temp ID],Clean_Table[[#This Row],[Temp ID]])&gt;1,"Duplicate","Unique")</f>
        <v>Unique</v>
      </c>
      <c r="L205">
        <f>IF(Clean_Table[[#This Row],[Role]]="VIP",1,0)</f>
        <v>0</v>
      </c>
      <c r="M205">
        <f>IF(Clean_Table[[#This Row],[Role]]="Speaker",1,0)</f>
        <v>0</v>
      </c>
      <c r="N205">
        <f>IF(Clean_Table[[#This Row],[Role]]="Sponsor",1,0)</f>
        <v>0</v>
      </c>
      <c r="O205">
        <f>IF(Clean_Table[[#This Row],[Role]]="Attendee",1,0)</f>
        <v>1</v>
      </c>
      <c r="P205">
        <f>IF(Clean_Table[[#This Row],[Empty Cell Check]]="Missing",1,0)</f>
        <v>0</v>
      </c>
    </row>
    <row r="206" spans="1:16">
      <c r="A206" t="s">
        <v>205</v>
      </c>
      <c r="B206" t="s">
        <v>407</v>
      </c>
      <c r="C206" t="s">
        <v>101</v>
      </c>
      <c r="D206" t="s">
        <v>810</v>
      </c>
      <c r="E206" s="2" t="s">
        <v>828</v>
      </c>
      <c r="F206" t="s">
        <v>405</v>
      </c>
      <c r="G206" t="s">
        <v>91</v>
      </c>
      <c r="H206" t="s">
        <v>39</v>
      </c>
      <c r="I20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0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Drew Johnsondrew.johnson26@example.comJapan04:30 PM32AHalalAttendee</v>
      </c>
      <c r="K206" t="str">
        <f>IF(COUNTIF(Clean_Table[Temp ID],Clean_Table[[#This Row],[Temp ID]])&gt;1,"Duplicate","Unique")</f>
        <v>Unique</v>
      </c>
      <c r="L206">
        <f>IF(Clean_Table[[#This Row],[Role]]="VIP",1,0)</f>
        <v>0</v>
      </c>
      <c r="M206">
        <f>IF(Clean_Table[[#This Row],[Role]]="Speaker",1,0)</f>
        <v>0</v>
      </c>
      <c r="N206">
        <f>IF(Clean_Table[[#This Row],[Role]]="Sponsor",1,0)</f>
        <v>0</v>
      </c>
      <c r="O206">
        <f>IF(Clean_Table[[#This Row],[Role]]="Attendee",1,0)</f>
        <v>1</v>
      </c>
      <c r="P206">
        <f>IF(Clean_Table[[#This Row],[Empty Cell Check]]="Missing",1,0)</f>
        <v>1</v>
      </c>
    </row>
    <row r="207" spans="1:16">
      <c r="A207" t="s">
        <v>265</v>
      </c>
      <c r="B207" t="s">
        <v>408</v>
      </c>
      <c r="C207" t="s">
        <v>810</v>
      </c>
      <c r="D207" t="s">
        <v>810</v>
      </c>
      <c r="E207" s="2" t="s">
        <v>844</v>
      </c>
      <c r="F207" t="s">
        <v>405</v>
      </c>
      <c r="G207" t="s">
        <v>810</v>
      </c>
      <c r="H207" t="s">
        <v>39</v>
      </c>
      <c r="I20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0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Alex Wilsonalex.wilson430@example.com02:00 AM32AAttendee</v>
      </c>
      <c r="K207" t="str">
        <f>IF(COUNTIF(Clean_Table[Temp ID],Clean_Table[[#This Row],[Temp ID]])&gt;1,"Duplicate","Unique")</f>
        <v>Unique</v>
      </c>
      <c r="L207">
        <f>IF(Clean_Table[[#This Row],[Role]]="VIP",1,0)</f>
        <v>0</v>
      </c>
      <c r="M207">
        <f>IF(Clean_Table[[#This Row],[Role]]="Speaker",1,0)</f>
        <v>0</v>
      </c>
      <c r="N207">
        <f>IF(Clean_Table[[#This Row],[Role]]="Sponsor",1,0)</f>
        <v>0</v>
      </c>
      <c r="O207">
        <f>IF(Clean_Table[[#This Row],[Role]]="Attendee",1,0)</f>
        <v>1</v>
      </c>
      <c r="P207">
        <f>IF(Clean_Table[[#This Row],[Empty Cell Check]]="Missing",1,0)</f>
        <v>1</v>
      </c>
    </row>
    <row r="208" spans="1:16">
      <c r="A208" t="s">
        <v>127</v>
      </c>
      <c r="B208" t="s">
        <v>409</v>
      </c>
      <c r="C208" t="s">
        <v>34</v>
      </c>
      <c r="D208" t="s">
        <v>71</v>
      </c>
      <c r="E208" s="2" t="s">
        <v>816</v>
      </c>
      <c r="F208" t="s">
        <v>410</v>
      </c>
      <c r="G208" t="s">
        <v>31</v>
      </c>
      <c r="H208" t="s">
        <v>39</v>
      </c>
      <c r="I20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0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Lewiscasey.lewis611@example.comGermanyWebinar: AI Ethics01:00 PM32BNoneAttendee</v>
      </c>
      <c r="K208" t="str">
        <f>IF(COUNTIF(Clean_Table[Temp ID],Clean_Table[[#This Row],[Temp ID]])&gt;1,"Duplicate","Unique")</f>
        <v>Unique</v>
      </c>
      <c r="L208">
        <f>IF(Clean_Table[[#This Row],[Role]]="VIP",1,0)</f>
        <v>0</v>
      </c>
      <c r="M208">
        <f>IF(Clean_Table[[#This Row],[Role]]="Speaker",1,0)</f>
        <v>0</v>
      </c>
      <c r="N208">
        <f>IF(Clean_Table[[#This Row],[Role]]="Sponsor",1,0)</f>
        <v>0</v>
      </c>
      <c r="O208">
        <f>IF(Clean_Table[[#This Row],[Role]]="Attendee",1,0)</f>
        <v>1</v>
      </c>
      <c r="P208">
        <f>IF(Clean_Table[[#This Row],[Empty Cell Check]]="Missing",1,0)</f>
        <v>0</v>
      </c>
    </row>
    <row r="209" spans="1:16">
      <c r="A209" t="s">
        <v>114</v>
      </c>
      <c r="B209" t="s">
        <v>411</v>
      </c>
      <c r="C209" t="s">
        <v>101</v>
      </c>
      <c r="D209" t="s">
        <v>810</v>
      </c>
      <c r="E209" s="1" t="s">
        <v>847</v>
      </c>
      <c r="F209" t="s">
        <v>412</v>
      </c>
      <c r="G209" t="s">
        <v>31</v>
      </c>
      <c r="H209" t="s">
        <v>39</v>
      </c>
      <c r="I20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0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Drew Wilsondrew.wilson646@example.comJapan07:30 PM32CNoneAttendee</v>
      </c>
      <c r="K209" t="str">
        <f>IF(COUNTIF(Clean_Table[Temp ID],Clean_Table[[#This Row],[Temp ID]])&gt;1,"Duplicate","Unique")</f>
        <v>Unique</v>
      </c>
      <c r="L209">
        <f>IF(Clean_Table[[#This Row],[Role]]="VIP",1,0)</f>
        <v>0</v>
      </c>
      <c r="M209">
        <f>IF(Clean_Table[[#This Row],[Role]]="Speaker",1,0)</f>
        <v>0</v>
      </c>
      <c r="N209">
        <f>IF(Clean_Table[[#This Row],[Role]]="Sponsor",1,0)</f>
        <v>0</v>
      </c>
      <c r="O209">
        <f>IF(Clean_Table[[#This Row],[Role]]="Attendee",1,0)</f>
        <v>1</v>
      </c>
      <c r="P209">
        <f>IF(Clean_Table[[#This Row],[Empty Cell Check]]="Missing",1,0)</f>
        <v>1</v>
      </c>
    </row>
    <row r="210" spans="1:16">
      <c r="A210" t="s">
        <v>46</v>
      </c>
      <c r="B210" t="s">
        <v>413</v>
      </c>
      <c r="C210" t="s">
        <v>27</v>
      </c>
      <c r="D210" t="s">
        <v>71</v>
      </c>
      <c r="E210" s="1" t="s">
        <v>825</v>
      </c>
      <c r="F210" t="s">
        <v>412</v>
      </c>
      <c r="G210" t="s">
        <v>15</v>
      </c>
      <c r="H210" t="s">
        <v>39</v>
      </c>
      <c r="I21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1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Alex Clarkalex.clark971@example.comFranceWebinar: AI Ethics10:00 AM32CVegetarianAttendee</v>
      </c>
      <c r="K210" t="str">
        <f>IF(COUNTIF(Clean_Table[Temp ID],Clean_Table[[#This Row],[Temp ID]])&gt;1,"Duplicate","Unique")</f>
        <v>Unique</v>
      </c>
      <c r="L210">
        <f>IF(Clean_Table[[#This Row],[Role]]="VIP",1,0)</f>
        <v>0</v>
      </c>
      <c r="M210">
        <f>IF(Clean_Table[[#This Row],[Role]]="Speaker",1,0)</f>
        <v>0</v>
      </c>
      <c r="N210">
        <f>IF(Clean_Table[[#This Row],[Role]]="Sponsor",1,0)</f>
        <v>0</v>
      </c>
      <c r="O210">
        <f>IF(Clean_Table[[#This Row],[Role]]="Attendee",1,0)</f>
        <v>1</v>
      </c>
      <c r="P210">
        <f>IF(Clean_Table[[#This Row],[Empty Cell Check]]="Missing",1,0)</f>
        <v>0</v>
      </c>
    </row>
    <row r="211" spans="1:16">
      <c r="A211" t="s">
        <v>117</v>
      </c>
      <c r="B211" t="s">
        <v>414</v>
      </c>
      <c r="C211" t="s">
        <v>68</v>
      </c>
      <c r="D211" t="s">
        <v>13</v>
      </c>
      <c r="E211" s="1" t="s">
        <v>859</v>
      </c>
      <c r="F211" t="s">
        <v>415</v>
      </c>
      <c r="G211" t="s">
        <v>28</v>
      </c>
      <c r="H211" t="s">
        <v>39</v>
      </c>
      <c r="I21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1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Wilsontaylor.wilson338@example.comIndiaTraining: Dashboard Design08:30 PM32DKosherAttendee</v>
      </c>
      <c r="K211" t="str">
        <f>IF(COUNTIF(Clean_Table[Temp ID],Clean_Table[[#This Row],[Temp ID]])&gt;1,"Duplicate","Unique")</f>
        <v>Unique</v>
      </c>
      <c r="L211">
        <f>IF(Clean_Table[[#This Row],[Role]]="VIP",1,0)</f>
        <v>0</v>
      </c>
      <c r="M211">
        <f>IF(Clean_Table[[#This Row],[Role]]="Speaker",1,0)</f>
        <v>0</v>
      </c>
      <c r="N211">
        <f>IF(Clean_Table[[#This Row],[Role]]="Sponsor",1,0)</f>
        <v>0</v>
      </c>
      <c r="O211">
        <f>IF(Clean_Table[[#This Row],[Role]]="Attendee",1,0)</f>
        <v>1</v>
      </c>
      <c r="P211">
        <f>IF(Clean_Table[[#This Row],[Empty Cell Check]]="Missing",1,0)</f>
        <v>0</v>
      </c>
    </row>
    <row r="212" spans="1:16">
      <c r="A212" t="s">
        <v>416</v>
      </c>
      <c r="B212" t="s">
        <v>417</v>
      </c>
      <c r="C212" t="s">
        <v>68</v>
      </c>
      <c r="D212" t="s">
        <v>71</v>
      </c>
      <c r="E212" s="2" t="s">
        <v>860</v>
      </c>
      <c r="F212" t="s">
        <v>415</v>
      </c>
      <c r="G212" t="s">
        <v>31</v>
      </c>
      <c r="H212" t="s">
        <v>39</v>
      </c>
      <c r="I21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1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Chris Lewischris.lewis997@example.comIndiaWebinar: AI Ethics11:30 AM32DNoneAttendee</v>
      </c>
      <c r="K212" t="str">
        <f>IF(COUNTIF(Clean_Table[Temp ID],Clean_Table[[#This Row],[Temp ID]])&gt;1,"Duplicate","Unique")</f>
        <v>Unique</v>
      </c>
      <c r="L212">
        <f>IF(Clean_Table[[#This Row],[Role]]="VIP",1,0)</f>
        <v>0</v>
      </c>
      <c r="M212">
        <f>IF(Clean_Table[[#This Row],[Role]]="Speaker",1,0)</f>
        <v>0</v>
      </c>
      <c r="N212">
        <f>IF(Clean_Table[[#This Row],[Role]]="Sponsor",1,0)</f>
        <v>0</v>
      </c>
      <c r="O212">
        <f>IF(Clean_Table[[#This Row],[Role]]="Attendee",1,0)</f>
        <v>1</v>
      </c>
      <c r="P212">
        <f>IF(Clean_Table[[#This Row],[Empty Cell Check]]="Missing",1,0)</f>
        <v>0</v>
      </c>
    </row>
    <row r="213" spans="1:16">
      <c r="A213" t="s">
        <v>46</v>
      </c>
      <c r="B213" t="s">
        <v>418</v>
      </c>
      <c r="C213" t="s">
        <v>96</v>
      </c>
      <c r="D213" t="s">
        <v>45</v>
      </c>
      <c r="E213" s="1" t="s">
        <v>849</v>
      </c>
      <c r="F213" t="s">
        <v>415</v>
      </c>
      <c r="G213" t="s">
        <v>810</v>
      </c>
      <c r="H213" t="s">
        <v>21</v>
      </c>
      <c r="I21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1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Alex Clarkalex.clark411@example.comUnited KingdomKeynote: Future of Data10:30 PM32DSpeaker</v>
      </c>
      <c r="K213" t="str">
        <f>IF(COUNTIF(Clean_Table[Temp ID],Clean_Table[[#This Row],[Temp ID]])&gt;1,"Duplicate","Unique")</f>
        <v>Unique</v>
      </c>
      <c r="L213">
        <f>IF(Clean_Table[[#This Row],[Role]]="VIP",1,0)</f>
        <v>0</v>
      </c>
      <c r="M213">
        <f>IF(Clean_Table[[#This Row],[Role]]="Speaker",1,0)</f>
        <v>1</v>
      </c>
      <c r="N213">
        <f>IF(Clean_Table[[#This Row],[Role]]="Sponsor",1,0)</f>
        <v>0</v>
      </c>
      <c r="O213">
        <f>IF(Clean_Table[[#This Row],[Role]]="Attendee",1,0)</f>
        <v>0</v>
      </c>
      <c r="P213">
        <f>IF(Clean_Table[[#This Row],[Empty Cell Check]]="Missing",1,0)</f>
        <v>1</v>
      </c>
    </row>
    <row r="214" spans="1:16">
      <c r="A214" t="s">
        <v>419</v>
      </c>
      <c r="B214" t="s">
        <v>420</v>
      </c>
      <c r="C214" t="s">
        <v>810</v>
      </c>
      <c r="D214" t="s">
        <v>71</v>
      </c>
      <c r="E214" s="1" t="s">
        <v>832</v>
      </c>
      <c r="F214" t="s">
        <v>421</v>
      </c>
      <c r="G214" t="s">
        <v>91</v>
      </c>
      <c r="H214" t="s">
        <v>39</v>
      </c>
      <c r="I21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1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Alex Allenalex.allen65@example.comWebinar: AI Ethics12:00 PM33AHalalAttendee</v>
      </c>
      <c r="K214" t="str">
        <f>IF(COUNTIF(Clean_Table[Temp ID],Clean_Table[[#This Row],[Temp ID]])&gt;1,"Duplicate","Unique")</f>
        <v>Unique</v>
      </c>
      <c r="L214">
        <f>IF(Clean_Table[[#This Row],[Role]]="VIP",1,0)</f>
        <v>0</v>
      </c>
      <c r="M214">
        <f>IF(Clean_Table[[#This Row],[Role]]="Speaker",1,0)</f>
        <v>0</v>
      </c>
      <c r="N214">
        <f>IF(Clean_Table[[#This Row],[Role]]="Sponsor",1,0)</f>
        <v>0</v>
      </c>
      <c r="O214">
        <f>IF(Clean_Table[[#This Row],[Role]]="Attendee",1,0)</f>
        <v>1</v>
      </c>
      <c r="P214">
        <f>IF(Clean_Table[[#This Row],[Empty Cell Check]]="Missing",1,0)</f>
        <v>1</v>
      </c>
    </row>
    <row r="215" spans="1:16">
      <c r="A215" t="s">
        <v>81</v>
      </c>
      <c r="B215" t="s">
        <v>422</v>
      </c>
      <c r="C215" t="s">
        <v>810</v>
      </c>
      <c r="D215" t="s">
        <v>45</v>
      </c>
      <c r="E215" s="2" t="s">
        <v>835</v>
      </c>
      <c r="F215" t="s">
        <v>421</v>
      </c>
      <c r="G215" t="s">
        <v>28</v>
      </c>
      <c r="H215" t="s">
        <v>39</v>
      </c>
      <c r="I21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1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Hallcasey.hall117@example.comKeynote: Future of Data02:30 PM33AKosherAttendee</v>
      </c>
      <c r="K215" t="str">
        <f>IF(COUNTIF(Clean_Table[Temp ID],Clean_Table[[#This Row],[Temp ID]])&gt;1,"Duplicate","Unique")</f>
        <v>Unique</v>
      </c>
      <c r="L215">
        <f>IF(Clean_Table[[#This Row],[Role]]="VIP",1,0)</f>
        <v>0</v>
      </c>
      <c r="M215">
        <f>IF(Clean_Table[[#This Row],[Role]]="Speaker",1,0)</f>
        <v>0</v>
      </c>
      <c r="N215">
        <f>IF(Clean_Table[[#This Row],[Role]]="Sponsor",1,0)</f>
        <v>0</v>
      </c>
      <c r="O215">
        <f>IF(Clean_Table[[#This Row],[Role]]="Attendee",1,0)</f>
        <v>1</v>
      </c>
      <c r="P215">
        <f>IF(Clean_Table[[#This Row],[Empty Cell Check]]="Missing",1,0)</f>
        <v>1</v>
      </c>
    </row>
    <row r="216" spans="1:16">
      <c r="A216" t="s">
        <v>133</v>
      </c>
      <c r="B216" t="s">
        <v>423</v>
      </c>
      <c r="C216" t="s">
        <v>112</v>
      </c>
      <c r="D216" t="s">
        <v>71</v>
      </c>
      <c r="E216" s="1" t="s">
        <v>833</v>
      </c>
      <c r="F216" t="s">
        <v>424</v>
      </c>
      <c r="G216" t="s">
        <v>810</v>
      </c>
      <c r="H216" t="s">
        <v>39</v>
      </c>
      <c r="I21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1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Walkerriley.walker250@example.comNigeriaWebinar: AI Ethics07:00 AM33BAttendee</v>
      </c>
      <c r="K216" t="str">
        <f>IF(COUNTIF(Clean_Table[Temp ID],Clean_Table[[#This Row],[Temp ID]])&gt;1,"Duplicate","Unique")</f>
        <v>Unique</v>
      </c>
      <c r="L216">
        <f>IF(Clean_Table[[#This Row],[Role]]="VIP",1,0)</f>
        <v>0</v>
      </c>
      <c r="M216">
        <f>IF(Clean_Table[[#This Row],[Role]]="Speaker",1,0)</f>
        <v>0</v>
      </c>
      <c r="N216">
        <f>IF(Clean_Table[[#This Row],[Role]]="Sponsor",1,0)</f>
        <v>0</v>
      </c>
      <c r="O216">
        <f>IF(Clean_Table[[#This Row],[Role]]="Attendee",1,0)</f>
        <v>1</v>
      </c>
      <c r="P216">
        <f>IF(Clean_Table[[#This Row],[Empty Cell Check]]="Missing",1,0)</f>
        <v>1</v>
      </c>
    </row>
    <row r="217" spans="1:16">
      <c r="A217" t="s">
        <v>313</v>
      </c>
      <c r="B217" t="s">
        <v>425</v>
      </c>
      <c r="C217" t="s">
        <v>101</v>
      </c>
      <c r="D217" t="s">
        <v>71</v>
      </c>
      <c r="E217" s="1" t="s">
        <v>850</v>
      </c>
      <c r="F217" t="s">
        <v>424</v>
      </c>
      <c r="G217" t="s">
        <v>810</v>
      </c>
      <c r="H217" t="s">
        <v>39</v>
      </c>
      <c r="I21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1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Browncasey.brown656@example.comJapanWebinar: AI Ethics05:00 PM33BAttendee</v>
      </c>
      <c r="K217" t="str">
        <f>IF(COUNTIF(Clean_Table[Temp ID],Clean_Table[[#This Row],[Temp ID]])&gt;1,"Duplicate","Unique")</f>
        <v>Unique</v>
      </c>
      <c r="L217">
        <f>IF(Clean_Table[[#This Row],[Role]]="VIP",1,0)</f>
        <v>0</v>
      </c>
      <c r="M217">
        <f>IF(Clean_Table[[#This Row],[Role]]="Speaker",1,0)</f>
        <v>0</v>
      </c>
      <c r="N217">
        <f>IF(Clean_Table[[#This Row],[Role]]="Sponsor",1,0)</f>
        <v>0</v>
      </c>
      <c r="O217">
        <f>IF(Clean_Table[[#This Row],[Role]]="Attendee",1,0)</f>
        <v>1</v>
      </c>
      <c r="P217">
        <f>IF(Clean_Table[[#This Row],[Empty Cell Check]]="Missing",1,0)</f>
        <v>1</v>
      </c>
    </row>
    <row r="218" spans="1:16">
      <c r="A218" t="s">
        <v>73</v>
      </c>
      <c r="B218" t="s">
        <v>426</v>
      </c>
      <c r="C218" t="s">
        <v>37</v>
      </c>
      <c r="D218" t="s">
        <v>810</v>
      </c>
      <c r="E218" s="2" t="s">
        <v>829</v>
      </c>
      <c r="F218" t="s">
        <v>424</v>
      </c>
      <c r="G218" t="s">
        <v>52</v>
      </c>
      <c r="H218" t="s">
        <v>39</v>
      </c>
      <c r="I21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1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Smithtaylor.smith462@example.comCanada10:00 PM33BVeganAttendee</v>
      </c>
      <c r="K218" t="str">
        <f>IF(COUNTIF(Clean_Table[Temp ID],Clean_Table[[#This Row],[Temp ID]])&gt;1,"Duplicate","Unique")</f>
        <v>Unique</v>
      </c>
      <c r="L218">
        <f>IF(Clean_Table[[#This Row],[Role]]="VIP",1,0)</f>
        <v>0</v>
      </c>
      <c r="M218">
        <f>IF(Clean_Table[[#This Row],[Role]]="Speaker",1,0)</f>
        <v>0</v>
      </c>
      <c r="N218">
        <f>IF(Clean_Table[[#This Row],[Role]]="Sponsor",1,0)</f>
        <v>0</v>
      </c>
      <c r="O218">
        <f>IF(Clean_Table[[#This Row],[Role]]="Attendee",1,0)</f>
        <v>1</v>
      </c>
      <c r="P218">
        <f>IF(Clean_Table[[#This Row],[Empty Cell Check]]="Missing",1,0)</f>
        <v>1</v>
      </c>
    </row>
    <row r="219" spans="1:16">
      <c r="A219" t="s">
        <v>10</v>
      </c>
      <c r="B219" t="s">
        <v>427</v>
      </c>
      <c r="C219" t="s">
        <v>78</v>
      </c>
      <c r="D219" t="s">
        <v>79</v>
      </c>
      <c r="E219" s="1" t="s">
        <v>850</v>
      </c>
      <c r="F219" t="s">
        <v>428</v>
      </c>
      <c r="G219" t="s">
        <v>52</v>
      </c>
      <c r="H219" t="s">
        <v>39</v>
      </c>
      <c r="I21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1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Jordan Smithjordan.smith344@example.comAustraliaPanel: Women in Tech05:00 PM33CVeganAttendee</v>
      </c>
      <c r="K219" t="str">
        <f>IF(COUNTIF(Clean_Table[Temp ID],Clean_Table[[#This Row],[Temp ID]])&gt;1,"Duplicate","Unique")</f>
        <v>Unique</v>
      </c>
      <c r="L219">
        <f>IF(Clean_Table[[#This Row],[Role]]="VIP",1,0)</f>
        <v>0</v>
      </c>
      <c r="M219">
        <f>IF(Clean_Table[[#This Row],[Role]]="Speaker",1,0)</f>
        <v>0</v>
      </c>
      <c r="N219">
        <f>IF(Clean_Table[[#This Row],[Role]]="Sponsor",1,0)</f>
        <v>0</v>
      </c>
      <c r="O219">
        <f>IF(Clean_Table[[#This Row],[Role]]="Attendee",1,0)</f>
        <v>1</v>
      </c>
      <c r="P219">
        <f>IF(Clean_Table[[#This Row],[Empty Cell Check]]="Missing",1,0)</f>
        <v>0</v>
      </c>
    </row>
    <row r="220" spans="1:16">
      <c r="A220" t="s">
        <v>69</v>
      </c>
      <c r="B220" t="s">
        <v>429</v>
      </c>
      <c r="C220" t="s">
        <v>27</v>
      </c>
      <c r="D220" t="s">
        <v>13</v>
      </c>
      <c r="E220" s="2" t="s">
        <v>821</v>
      </c>
      <c r="F220" t="s">
        <v>430</v>
      </c>
      <c r="G220" t="s">
        <v>15</v>
      </c>
      <c r="H220" t="s">
        <v>39</v>
      </c>
      <c r="I22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2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Clarkmorgan.clark695@example.comFranceTraining: Dashboard Design09:30 AM33DVegetarianAttendee</v>
      </c>
      <c r="K220" t="str">
        <f>IF(COUNTIF(Clean_Table[Temp ID],Clean_Table[[#This Row],[Temp ID]])&gt;1,"Duplicate","Unique")</f>
        <v>Unique</v>
      </c>
      <c r="L220">
        <f>IF(Clean_Table[[#This Row],[Role]]="VIP",1,0)</f>
        <v>0</v>
      </c>
      <c r="M220">
        <f>IF(Clean_Table[[#This Row],[Role]]="Speaker",1,0)</f>
        <v>0</v>
      </c>
      <c r="N220">
        <f>IF(Clean_Table[[#This Row],[Role]]="Sponsor",1,0)</f>
        <v>0</v>
      </c>
      <c r="O220">
        <f>IF(Clean_Table[[#This Row],[Role]]="Attendee",1,0)</f>
        <v>1</v>
      </c>
      <c r="P220">
        <f>IF(Clean_Table[[#This Row],[Empty Cell Check]]="Missing",1,0)</f>
        <v>0</v>
      </c>
    </row>
    <row r="221" spans="1:16">
      <c r="A221" t="s">
        <v>32</v>
      </c>
      <c r="B221" t="s">
        <v>431</v>
      </c>
      <c r="C221" t="s">
        <v>34</v>
      </c>
      <c r="D221" t="s">
        <v>810</v>
      </c>
      <c r="E221" s="2" t="s">
        <v>834</v>
      </c>
      <c r="F221" t="s">
        <v>432</v>
      </c>
      <c r="G221" t="s">
        <v>810</v>
      </c>
      <c r="H221" t="s">
        <v>39</v>
      </c>
      <c r="I22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2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Clarktaylor.clark174@example.comGermany05:00 AM34AAttendee</v>
      </c>
      <c r="K221" t="str">
        <f>IF(COUNTIF(Clean_Table[Temp ID],Clean_Table[[#This Row],[Temp ID]])&gt;1,"Duplicate","Unique")</f>
        <v>Unique</v>
      </c>
      <c r="L221">
        <f>IF(Clean_Table[[#This Row],[Role]]="VIP",1,0)</f>
        <v>0</v>
      </c>
      <c r="M221">
        <f>IF(Clean_Table[[#This Row],[Role]]="Speaker",1,0)</f>
        <v>0</v>
      </c>
      <c r="N221">
        <f>IF(Clean_Table[[#This Row],[Role]]="Sponsor",1,0)</f>
        <v>0</v>
      </c>
      <c r="O221">
        <f>IF(Clean_Table[[#This Row],[Role]]="Attendee",1,0)</f>
        <v>1</v>
      </c>
      <c r="P221">
        <f>IF(Clean_Table[[#This Row],[Empty Cell Check]]="Missing",1,0)</f>
        <v>1</v>
      </c>
    </row>
    <row r="222" spans="1:16">
      <c r="A222" t="s">
        <v>121</v>
      </c>
      <c r="B222" t="s">
        <v>433</v>
      </c>
      <c r="C222" t="s">
        <v>810</v>
      </c>
      <c r="D222" t="s">
        <v>810</v>
      </c>
      <c r="E222" s="1" t="s">
        <v>852</v>
      </c>
      <c r="F222" t="s">
        <v>432</v>
      </c>
      <c r="G222" t="s">
        <v>28</v>
      </c>
      <c r="H222" t="s">
        <v>39</v>
      </c>
      <c r="I22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2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Jesse Lewisjesse.lewis192@example.com09:30 PM34AKosherAttendee</v>
      </c>
      <c r="K222" t="str">
        <f>IF(COUNTIF(Clean_Table[Temp ID],Clean_Table[[#This Row],[Temp ID]])&gt;1,"Duplicate","Unique")</f>
        <v>Unique</v>
      </c>
      <c r="L222">
        <f>IF(Clean_Table[[#This Row],[Role]]="VIP",1,0)</f>
        <v>0</v>
      </c>
      <c r="M222">
        <f>IF(Clean_Table[[#This Row],[Role]]="Speaker",1,0)</f>
        <v>0</v>
      </c>
      <c r="N222">
        <f>IF(Clean_Table[[#This Row],[Role]]="Sponsor",1,0)</f>
        <v>0</v>
      </c>
      <c r="O222">
        <f>IF(Clean_Table[[#This Row],[Role]]="Attendee",1,0)</f>
        <v>1</v>
      </c>
      <c r="P222">
        <f>IF(Clean_Table[[#This Row],[Empty Cell Check]]="Missing",1,0)</f>
        <v>1</v>
      </c>
    </row>
    <row r="223" spans="1:16">
      <c r="A223" t="s">
        <v>76</v>
      </c>
      <c r="B223" t="s">
        <v>434</v>
      </c>
      <c r="C223" t="s">
        <v>96</v>
      </c>
      <c r="D223" t="s">
        <v>79</v>
      </c>
      <c r="E223" s="2" t="s">
        <v>856</v>
      </c>
      <c r="F223" t="s">
        <v>435</v>
      </c>
      <c r="G223" t="s">
        <v>52</v>
      </c>
      <c r="H223" t="s">
        <v>39</v>
      </c>
      <c r="I22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2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Chris Clarkchris.clark883@example.comUnited KingdomPanel: Women in Tech06:00 AM34BVeganAttendee</v>
      </c>
      <c r="K223" t="str">
        <f>IF(COUNTIF(Clean_Table[Temp ID],Clean_Table[[#This Row],[Temp ID]])&gt;1,"Duplicate","Unique")</f>
        <v>Unique</v>
      </c>
      <c r="L223">
        <f>IF(Clean_Table[[#This Row],[Role]]="VIP",1,0)</f>
        <v>0</v>
      </c>
      <c r="M223">
        <f>IF(Clean_Table[[#This Row],[Role]]="Speaker",1,0)</f>
        <v>0</v>
      </c>
      <c r="N223">
        <f>IF(Clean_Table[[#This Row],[Role]]="Sponsor",1,0)</f>
        <v>0</v>
      </c>
      <c r="O223">
        <f>IF(Clean_Table[[#This Row],[Role]]="Attendee",1,0)</f>
        <v>1</v>
      </c>
      <c r="P223">
        <f>IF(Clean_Table[[#This Row],[Empty Cell Check]]="Missing",1,0)</f>
        <v>0</v>
      </c>
    </row>
    <row r="224" spans="1:16">
      <c r="A224" t="s">
        <v>237</v>
      </c>
      <c r="B224" t="s">
        <v>436</v>
      </c>
      <c r="C224" t="s">
        <v>810</v>
      </c>
      <c r="D224" t="s">
        <v>79</v>
      </c>
      <c r="E224" s="1" t="s">
        <v>861</v>
      </c>
      <c r="F224" t="s">
        <v>435</v>
      </c>
      <c r="G224" t="s">
        <v>52</v>
      </c>
      <c r="H224" t="s">
        <v>39</v>
      </c>
      <c r="I22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2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Jesse Halljesse.hall63@example.comPanel: Women in Tech01:30 AM34BVeganAttendee</v>
      </c>
      <c r="K224" t="str">
        <f>IF(COUNTIF(Clean_Table[Temp ID],Clean_Table[[#This Row],[Temp ID]])&gt;1,"Duplicate","Unique")</f>
        <v>Unique</v>
      </c>
      <c r="L224">
        <f>IF(Clean_Table[[#This Row],[Role]]="VIP",1,0)</f>
        <v>0</v>
      </c>
      <c r="M224">
        <f>IF(Clean_Table[[#This Row],[Role]]="Speaker",1,0)</f>
        <v>0</v>
      </c>
      <c r="N224">
        <f>IF(Clean_Table[[#This Row],[Role]]="Sponsor",1,0)</f>
        <v>0</v>
      </c>
      <c r="O224">
        <f>IF(Clean_Table[[#This Row],[Role]]="Attendee",1,0)</f>
        <v>1</v>
      </c>
      <c r="P224">
        <f>IF(Clean_Table[[#This Row],[Empty Cell Check]]="Missing",1,0)</f>
        <v>1</v>
      </c>
    </row>
    <row r="225" spans="1:16">
      <c r="A225" t="s">
        <v>85</v>
      </c>
      <c r="B225" t="s">
        <v>437</v>
      </c>
      <c r="C225" t="s">
        <v>27</v>
      </c>
      <c r="D225" t="s">
        <v>71</v>
      </c>
      <c r="E225" s="2" t="s">
        <v>845</v>
      </c>
      <c r="F225" t="s">
        <v>435</v>
      </c>
      <c r="G225" t="s">
        <v>15</v>
      </c>
      <c r="H225" t="s">
        <v>39</v>
      </c>
      <c r="I22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2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Jesse Johnsonjesse.johnson503@example.comFranceWebinar: AI Ethics02:30 AM34BVegetarianAttendee</v>
      </c>
      <c r="K225" t="str">
        <f>IF(COUNTIF(Clean_Table[Temp ID],Clean_Table[[#This Row],[Temp ID]])&gt;1,"Duplicate","Unique")</f>
        <v>Unique</v>
      </c>
      <c r="L225">
        <f>IF(Clean_Table[[#This Row],[Role]]="VIP",1,0)</f>
        <v>0</v>
      </c>
      <c r="M225">
        <f>IF(Clean_Table[[#This Row],[Role]]="Speaker",1,0)</f>
        <v>0</v>
      </c>
      <c r="N225">
        <f>IF(Clean_Table[[#This Row],[Role]]="Sponsor",1,0)</f>
        <v>0</v>
      </c>
      <c r="O225">
        <f>IF(Clean_Table[[#This Row],[Role]]="Attendee",1,0)</f>
        <v>1</v>
      </c>
      <c r="P225">
        <f>IF(Clean_Table[[#This Row],[Empty Cell Check]]="Missing",1,0)</f>
        <v>0</v>
      </c>
    </row>
    <row r="226" spans="1:16">
      <c r="A226" t="s">
        <v>322</v>
      </c>
      <c r="B226" t="s">
        <v>438</v>
      </c>
      <c r="C226" t="s">
        <v>101</v>
      </c>
      <c r="D226" t="s">
        <v>810</v>
      </c>
      <c r="E226" s="1" t="s">
        <v>822</v>
      </c>
      <c r="F226" t="s">
        <v>439</v>
      </c>
      <c r="G226" t="s">
        <v>52</v>
      </c>
      <c r="H226" t="s">
        <v>39</v>
      </c>
      <c r="I22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2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Drew Walkerdrew.walker776@example.comJapan04:00 AM34CVeganAttendee</v>
      </c>
      <c r="K226" t="str">
        <f>IF(COUNTIF(Clean_Table[Temp ID],Clean_Table[[#This Row],[Temp ID]])&gt;1,"Duplicate","Unique")</f>
        <v>Unique</v>
      </c>
      <c r="L226">
        <f>IF(Clean_Table[[#This Row],[Role]]="VIP",1,0)</f>
        <v>0</v>
      </c>
      <c r="M226">
        <f>IF(Clean_Table[[#This Row],[Role]]="Speaker",1,0)</f>
        <v>0</v>
      </c>
      <c r="N226">
        <f>IF(Clean_Table[[#This Row],[Role]]="Sponsor",1,0)</f>
        <v>0</v>
      </c>
      <c r="O226">
        <f>IF(Clean_Table[[#This Row],[Role]]="Attendee",1,0)</f>
        <v>1</v>
      </c>
      <c r="P226">
        <f>IF(Clean_Table[[#This Row],[Empty Cell Check]]="Missing",1,0)</f>
        <v>1</v>
      </c>
    </row>
    <row r="227" spans="1:16">
      <c r="A227" t="s">
        <v>138</v>
      </c>
      <c r="B227" t="s">
        <v>440</v>
      </c>
      <c r="C227" t="s">
        <v>101</v>
      </c>
      <c r="D227" t="s">
        <v>71</v>
      </c>
      <c r="E227" s="1" t="s">
        <v>829</v>
      </c>
      <c r="F227" t="s">
        <v>441</v>
      </c>
      <c r="G227" t="s">
        <v>52</v>
      </c>
      <c r="H227" t="s">
        <v>39</v>
      </c>
      <c r="I22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2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Jesse Brownjesse.brown64@example.comJapanWebinar: AI Ethics10:00 PM34DVeganAttendee</v>
      </c>
      <c r="K227" t="str">
        <f>IF(COUNTIF(Clean_Table[Temp ID],Clean_Table[[#This Row],[Temp ID]])&gt;1,"Duplicate","Unique")</f>
        <v>Unique</v>
      </c>
      <c r="L227">
        <f>IF(Clean_Table[[#This Row],[Role]]="VIP",1,0)</f>
        <v>0</v>
      </c>
      <c r="M227">
        <f>IF(Clean_Table[[#This Row],[Role]]="Speaker",1,0)</f>
        <v>0</v>
      </c>
      <c r="N227">
        <f>IF(Clean_Table[[#This Row],[Role]]="Sponsor",1,0)</f>
        <v>0</v>
      </c>
      <c r="O227">
        <f>IF(Clean_Table[[#This Row],[Role]]="Attendee",1,0)</f>
        <v>1</v>
      </c>
      <c r="P227">
        <f>IF(Clean_Table[[#This Row],[Empty Cell Check]]="Missing",1,0)</f>
        <v>0</v>
      </c>
    </row>
    <row r="228" spans="1:16">
      <c r="A228" t="s">
        <v>223</v>
      </c>
      <c r="B228" t="s">
        <v>442</v>
      </c>
      <c r="C228" t="s">
        <v>37</v>
      </c>
      <c r="D228" t="s">
        <v>45</v>
      </c>
      <c r="E228" s="2" t="s">
        <v>815</v>
      </c>
      <c r="F228" t="s">
        <v>441</v>
      </c>
      <c r="G228" t="s">
        <v>810</v>
      </c>
      <c r="H228" t="s">
        <v>39</v>
      </c>
      <c r="I22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2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Drew Leedrew.lee627@example.comCanadaKeynote: Future of Data12:30 PM34DAttendee</v>
      </c>
      <c r="K228" t="str">
        <f>IF(COUNTIF(Clean_Table[Temp ID],Clean_Table[[#This Row],[Temp ID]])&gt;1,"Duplicate","Unique")</f>
        <v>Unique</v>
      </c>
      <c r="L228">
        <f>IF(Clean_Table[[#This Row],[Role]]="VIP",1,0)</f>
        <v>0</v>
      </c>
      <c r="M228">
        <f>IF(Clean_Table[[#This Row],[Role]]="Speaker",1,0)</f>
        <v>0</v>
      </c>
      <c r="N228">
        <f>IF(Clean_Table[[#This Row],[Role]]="Sponsor",1,0)</f>
        <v>0</v>
      </c>
      <c r="O228">
        <f>IF(Clean_Table[[#This Row],[Role]]="Attendee",1,0)</f>
        <v>1</v>
      </c>
      <c r="P228">
        <f>IF(Clean_Table[[#This Row],[Empty Cell Check]]="Missing",1,0)</f>
        <v>1</v>
      </c>
    </row>
    <row r="229" spans="1:16">
      <c r="A229" t="s">
        <v>443</v>
      </c>
      <c r="B229" t="s">
        <v>444</v>
      </c>
      <c r="C229" t="s">
        <v>68</v>
      </c>
      <c r="D229" t="s">
        <v>71</v>
      </c>
      <c r="E229" s="2" t="s">
        <v>852</v>
      </c>
      <c r="F229" t="s">
        <v>441</v>
      </c>
      <c r="G229" t="s">
        <v>91</v>
      </c>
      <c r="H229" t="s">
        <v>39</v>
      </c>
      <c r="I22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2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Alex Leealex.lee532@example.comIndiaWebinar: AI Ethics09:30 PM34DHalalAttendee</v>
      </c>
      <c r="K229" t="str">
        <f>IF(COUNTIF(Clean_Table[Temp ID],Clean_Table[[#This Row],[Temp ID]])&gt;1,"Duplicate","Unique")</f>
        <v>Unique</v>
      </c>
      <c r="L229">
        <f>IF(Clean_Table[[#This Row],[Role]]="VIP",1,0)</f>
        <v>0</v>
      </c>
      <c r="M229">
        <f>IF(Clean_Table[[#This Row],[Role]]="Speaker",1,0)</f>
        <v>0</v>
      </c>
      <c r="N229">
        <f>IF(Clean_Table[[#This Row],[Role]]="Sponsor",1,0)</f>
        <v>0</v>
      </c>
      <c r="O229">
        <f>IF(Clean_Table[[#This Row],[Role]]="Attendee",1,0)</f>
        <v>1</v>
      </c>
      <c r="P229">
        <f>IF(Clean_Table[[#This Row],[Empty Cell Check]]="Missing",1,0)</f>
        <v>0</v>
      </c>
    </row>
    <row r="230" spans="1:16">
      <c r="A230" t="s">
        <v>389</v>
      </c>
      <c r="B230" t="s">
        <v>445</v>
      </c>
      <c r="C230" t="s">
        <v>68</v>
      </c>
      <c r="D230" t="s">
        <v>810</v>
      </c>
      <c r="E230" s="1" t="s">
        <v>820</v>
      </c>
      <c r="F230" t="s">
        <v>446</v>
      </c>
      <c r="G230" t="s">
        <v>52</v>
      </c>
      <c r="H230" t="s">
        <v>39</v>
      </c>
      <c r="I23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3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Johnsontaylor.johnson474@example.comIndia08:00 PM35AVeganAttendee</v>
      </c>
      <c r="K230" t="str">
        <f>IF(COUNTIF(Clean_Table[Temp ID],Clean_Table[[#This Row],[Temp ID]])&gt;1,"Duplicate","Unique")</f>
        <v>Unique</v>
      </c>
      <c r="L230">
        <f>IF(Clean_Table[[#This Row],[Role]]="VIP",1,0)</f>
        <v>0</v>
      </c>
      <c r="M230">
        <f>IF(Clean_Table[[#This Row],[Role]]="Speaker",1,0)</f>
        <v>0</v>
      </c>
      <c r="N230">
        <f>IF(Clean_Table[[#This Row],[Role]]="Sponsor",1,0)</f>
        <v>0</v>
      </c>
      <c r="O230">
        <f>IF(Clean_Table[[#This Row],[Role]]="Attendee",1,0)</f>
        <v>1</v>
      </c>
      <c r="P230">
        <f>IF(Clean_Table[[#This Row],[Empty Cell Check]]="Missing",1,0)</f>
        <v>1</v>
      </c>
    </row>
    <row r="231" spans="1:16">
      <c r="A231" t="s">
        <v>10</v>
      </c>
      <c r="B231" t="s">
        <v>447</v>
      </c>
      <c r="C231" t="s">
        <v>96</v>
      </c>
      <c r="D231" t="s">
        <v>50</v>
      </c>
      <c r="E231" s="1" t="s">
        <v>841</v>
      </c>
      <c r="F231" t="s">
        <v>446</v>
      </c>
      <c r="G231" t="s">
        <v>31</v>
      </c>
      <c r="H231" t="s">
        <v>21</v>
      </c>
      <c r="I23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3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Jordan Smithjordan.smith760@example.comUnited KingdomWorkshop: Excel Mastery03:00 AM35ANoneSpeaker</v>
      </c>
      <c r="K231" t="str">
        <f>IF(COUNTIF(Clean_Table[Temp ID],Clean_Table[[#This Row],[Temp ID]])&gt;1,"Duplicate","Unique")</f>
        <v>Unique</v>
      </c>
      <c r="L231">
        <f>IF(Clean_Table[[#This Row],[Role]]="VIP",1,0)</f>
        <v>0</v>
      </c>
      <c r="M231">
        <f>IF(Clean_Table[[#This Row],[Role]]="Speaker",1,0)</f>
        <v>1</v>
      </c>
      <c r="N231">
        <f>IF(Clean_Table[[#This Row],[Role]]="Sponsor",1,0)</f>
        <v>0</v>
      </c>
      <c r="O231">
        <f>IF(Clean_Table[[#This Row],[Role]]="Attendee",1,0)</f>
        <v>0</v>
      </c>
      <c r="P231">
        <f>IF(Clean_Table[[#This Row],[Empty Cell Check]]="Missing",1,0)</f>
        <v>0</v>
      </c>
    </row>
    <row r="232" spans="1:16">
      <c r="A232" t="s">
        <v>265</v>
      </c>
      <c r="B232" t="s">
        <v>448</v>
      </c>
      <c r="C232" t="s">
        <v>37</v>
      </c>
      <c r="D232" t="s">
        <v>45</v>
      </c>
      <c r="E232" s="2" t="s">
        <v>842</v>
      </c>
      <c r="F232" t="s">
        <v>446</v>
      </c>
      <c r="G232" t="s">
        <v>52</v>
      </c>
      <c r="H232" t="s">
        <v>39</v>
      </c>
      <c r="I23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3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Alex Wilsonalex.wilson593@example.comCanadaKeynote: Future of Data11:00 AM35AVeganAttendee</v>
      </c>
      <c r="K232" t="str">
        <f>IF(COUNTIF(Clean_Table[Temp ID],Clean_Table[[#This Row],[Temp ID]])&gt;1,"Duplicate","Unique")</f>
        <v>Unique</v>
      </c>
      <c r="L232">
        <f>IF(Clean_Table[[#This Row],[Role]]="VIP",1,0)</f>
        <v>0</v>
      </c>
      <c r="M232">
        <f>IF(Clean_Table[[#This Row],[Role]]="Speaker",1,0)</f>
        <v>0</v>
      </c>
      <c r="N232">
        <f>IF(Clean_Table[[#This Row],[Role]]="Sponsor",1,0)</f>
        <v>0</v>
      </c>
      <c r="O232">
        <f>IF(Clean_Table[[#This Row],[Role]]="Attendee",1,0)</f>
        <v>1</v>
      </c>
      <c r="P232">
        <f>IF(Clean_Table[[#This Row],[Empty Cell Check]]="Missing",1,0)</f>
        <v>0</v>
      </c>
    </row>
    <row r="233" spans="1:16">
      <c r="A233" t="s">
        <v>53</v>
      </c>
      <c r="B233" t="s">
        <v>449</v>
      </c>
      <c r="C233" t="s">
        <v>96</v>
      </c>
      <c r="D233" t="s">
        <v>50</v>
      </c>
      <c r="E233" s="2" t="s">
        <v>837</v>
      </c>
      <c r="F233" t="s">
        <v>446</v>
      </c>
      <c r="G233" t="s">
        <v>15</v>
      </c>
      <c r="H233" t="s">
        <v>39</v>
      </c>
      <c r="I23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3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Brownriley.brown731@example.comUnited KingdomWorkshop: Excel Mastery10:30 AM35AVegetarianAttendee</v>
      </c>
      <c r="K233" t="str">
        <f>IF(COUNTIF(Clean_Table[Temp ID],Clean_Table[[#This Row],[Temp ID]])&gt;1,"Duplicate","Unique")</f>
        <v>Unique</v>
      </c>
      <c r="L233">
        <f>IF(Clean_Table[[#This Row],[Role]]="VIP",1,0)</f>
        <v>0</v>
      </c>
      <c r="M233">
        <f>IF(Clean_Table[[#This Row],[Role]]="Speaker",1,0)</f>
        <v>0</v>
      </c>
      <c r="N233">
        <f>IF(Clean_Table[[#This Row],[Role]]="Sponsor",1,0)</f>
        <v>0</v>
      </c>
      <c r="O233">
        <f>IF(Clean_Table[[#This Row],[Role]]="Attendee",1,0)</f>
        <v>1</v>
      </c>
      <c r="P233">
        <f>IF(Clean_Table[[#This Row],[Empty Cell Check]]="Missing",1,0)</f>
        <v>0</v>
      </c>
    </row>
    <row r="234" spans="1:16">
      <c r="A234" t="s">
        <v>313</v>
      </c>
      <c r="B234" t="s">
        <v>450</v>
      </c>
      <c r="C234" t="s">
        <v>27</v>
      </c>
      <c r="D234" t="s">
        <v>13</v>
      </c>
      <c r="E234" s="2" t="s">
        <v>851</v>
      </c>
      <c r="F234" t="s">
        <v>446</v>
      </c>
      <c r="G234" t="s">
        <v>810</v>
      </c>
      <c r="H234" t="s">
        <v>39</v>
      </c>
      <c r="I23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3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Browncasey.brown460@example.comFranceTraining: Dashboard Design05:30 PM35AAttendee</v>
      </c>
      <c r="K234" t="str">
        <f>IF(COUNTIF(Clean_Table[Temp ID],Clean_Table[[#This Row],[Temp ID]])&gt;1,"Duplicate","Unique")</f>
        <v>Unique</v>
      </c>
      <c r="L234">
        <f>IF(Clean_Table[[#This Row],[Role]]="VIP",1,0)</f>
        <v>0</v>
      </c>
      <c r="M234">
        <f>IF(Clean_Table[[#This Row],[Role]]="Speaker",1,0)</f>
        <v>0</v>
      </c>
      <c r="N234">
        <f>IF(Clean_Table[[#This Row],[Role]]="Sponsor",1,0)</f>
        <v>0</v>
      </c>
      <c r="O234">
        <f>IF(Clean_Table[[#This Row],[Role]]="Attendee",1,0)</f>
        <v>1</v>
      </c>
      <c r="P234">
        <f>IF(Clean_Table[[#This Row],[Empty Cell Check]]="Missing",1,0)</f>
        <v>1</v>
      </c>
    </row>
    <row r="235" spans="1:16">
      <c r="A235" t="s">
        <v>265</v>
      </c>
      <c r="B235" t="s">
        <v>451</v>
      </c>
      <c r="C235" t="s">
        <v>96</v>
      </c>
      <c r="D235" t="s">
        <v>810</v>
      </c>
      <c r="E235" s="1" t="s">
        <v>825</v>
      </c>
      <c r="F235" t="s">
        <v>452</v>
      </c>
      <c r="G235" t="s">
        <v>91</v>
      </c>
      <c r="H235" t="s">
        <v>39</v>
      </c>
      <c r="I23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3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Alex Wilsonalex.wilson211@example.comUnited Kingdom10:00 AM35BHalalAttendee</v>
      </c>
      <c r="K235" t="str">
        <f>IF(COUNTIF(Clean_Table[Temp ID],Clean_Table[[#This Row],[Temp ID]])&gt;1,"Duplicate","Unique")</f>
        <v>Unique</v>
      </c>
      <c r="L235">
        <f>IF(Clean_Table[[#This Row],[Role]]="VIP",1,0)</f>
        <v>0</v>
      </c>
      <c r="M235">
        <f>IF(Clean_Table[[#This Row],[Role]]="Speaker",1,0)</f>
        <v>0</v>
      </c>
      <c r="N235">
        <f>IF(Clean_Table[[#This Row],[Role]]="Sponsor",1,0)</f>
        <v>0</v>
      </c>
      <c r="O235">
        <f>IF(Clean_Table[[#This Row],[Role]]="Attendee",1,0)</f>
        <v>1</v>
      </c>
      <c r="P235">
        <f>IF(Clean_Table[[#This Row],[Empty Cell Check]]="Missing",1,0)</f>
        <v>1</v>
      </c>
    </row>
    <row r="236" spans="1:16">
      <c r="A236" t="s">
        <v>190</v>
      </c>
      <c r="B236" t="s">
        <v>453</v>
      </c>
      <c r="C236" t="s">
        <v>78</v>
      </c>
      <c r="D236" t="s">
        <v>79</v>
      </c>
      <c r="E236" s="1" t="s">
        <v>825</v>
      </c>
      <c r="F236" t="s">
        <v>452</v>
      </c>
      <c r="G236" t="s">
        <v>810</v>
      </c>
      <c r="H236" t="s">
        <v>39</v>
      </c>
      <c r="I23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3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Johnsoncasey.johnson837@example.comAustraliaPanel: Women in Tech10:00 AM35BAttendee</v>
      </c>
      <c r="K236" t="str">
        <f>IF(COUNTIF(Clean_Table[Temp ID],Clean_Table[[#This Row],[Temp ID]])&gt;1,"Duplicate","Unique")</f>
        <v>Unique</v>
      </c>
      <c r="L236">
        <f>IF(Clean_Table[[#This Row],[Role]]="VIP",1,0)</f>
        <v>0</v>
      </c>
      <c r="M236">
        <f>IF(Clean_Table[[#This Row],[Role]]="Speaker",1,0)</f>
        <v>0</v>
      </c>
      <c r="N236">
        <f>IF(Clean_Table[[#This Row],[Role]]="Sponsor",1,0)</f>
        <v>0</v>
      </c>
      <c r="O236">
        <f>IF(Clean_Table[[#This Row],[Role]]="Attendee",1,0)</f>
        <v>1</v>
      </c>
      <c r="P236">
        <f>IF(Clean_Table[[#This Row],[Empty Cell Check]]="Missing",1,0)</f>
        <v>1</v>
      </c>
    </row>
    <row r="237" spans="1:16">
      <c r="A237" t="s">
        <v>147</v>
      </c>
      <c r="B237" t="s">
        <v>454</v>
      </c>
      <c r="C237" t="s">
        <v>12</v>
      </c>
      <c r="D237" t="s">
        <v>810</v>
      </c>
      <c r="E237" s="1" t="s">
        <v>850</v>
      </c>
      <c r="F237" t="s">
        <v>455</v>
      </c>
      <c r="G237" t="s">
        <v>15</v>
      </c>
      <c r="H237" t="s">
        <v>39</v>
      </c>
      <c r="I23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3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Browntaylor.brown579@example.comUnited States05:00 PM35CVegetarianAttendee</v>
      </c>
      <c r="K237" t="str">
        <f>IF(COUNTIF(Clean_Table[Temp ID],Clean_Table[[#This Row],[Temp ID]])&gt;1,"Duplicate","Unique")</f>
        <v>Unique</v>
      </c>
      <c r="L237">
        <f>IF(Clean_Table[[#This Row],[Role]]="VIP",1,0)</f>
        <v>0</v>
      </c>
      <c r="M237">
        <f>IF(Clean_Table[[#This Row],[Role]]="Speaker",1,0)</f>
        <v>0</v>
      </c>
      <c r="N237">
        <f>IF(Clean_Table[[#This Row],[Role]]="Sponsor",1,0)</f>
        <v>0</v>
      </c>
      <c r="O237">
        <f>IF(Clean_Table[[#This Row],[Role]]="Attendee",1,0)</f>
        <v>1</v>
      </c>
      <c r="P237">
        <f>IF(Clean_Table[[#This Row],[Empty Cell Check]]="Missing",1,0)</f>
        <v>1</v>
      </c>
    </row>
    <row r="238" spans="1:16">
      <c r="A238" t="s">
        <v>313</v>
      </c>
      <c r="B238" t="s">
        <v>456</v>
      </c>
      <c r="C238" t="s">
        <v>34</v>
      </c>
      <c r="D238" t="s">
        <v>71</v>
      </c>
      <c r="E238" s="1" t="s">
        <v>837</v>
      </c>
      <c r="F238" t="s">
        <v>455</v>
      </c>
      <c r="G238" t="s">
        <v>28</v>
      </c>
      <c r="H238" t="s">
        <v>39</v>
      </c>
      <c r="I23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3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Browncasey.brown307@example.comGermanyWebinar: AI Ethics10:30 AM35CKosherAttendee</v>
      </c>
      <c r="K238" t="str">
        <f>IF(COUNTIF(Clean_Table[Temp ID],Clean_Table[[#This Row],[Temp ID]])&gt;1,"Duplicate","Unique")</f>
        <v>Unique</v>
      </c>
      <c r="L238">
        <f>IF(Clean_Table[[#This Row],[Role]]="VIP",1,0)</f>
        <v>0</v>
      </c>
      <c r="M238">
        <f>IF(Clean_Table[[#This Row],[Role]]="Speaker",1,0)</f>
        <v>0</v>
      </c>
      <c r="N238">
        <f>IF(Clean_Table[[#This Row],[Role]]="Sponsor",1,0)</f>
        <v>0</v>
      </c>
      <c r="O238">
        <f>IF(Clean_Table[[#This Row],[Role]]="Attendee",1,0)</f>
        <v>1</v>
      </c>
      <c r="P238">
        <f>IF(Clean_Table[[#This Row],[Empty Cell Check]]="Missing",1,0)</f>
        <v>0</v>
      </c>
    </row>
    <row r="239" spans="1:16">
      <c r="A239" t="s">
        <v>108</v>
      </c>
      <c r="B239" t="s">
        <v>457</v>
      </c>
      <c r="C239" t="s">
        <v>112</v>
      </c>
      <c r="D239" t="s">
        <v>50</v>
      </c>
      <c r="E239" s="2" t="s">
        <v>818</v>
      </c>
      <c r="F239" t="s">
        <v>455</v>
      </c>
      <c r="G239" t="s">
        <v>52</v>
      </c>
      <c r="H239" t="s">
        <v>39</v>
      </c>
      <c r="I23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3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Wilsonjamie.wilson455@example.comNigeriaWorkshop: Excel Mastery03:30 AM35CVeganAttendee</v>
      </c>
      <c r="K239" t="str">
        <f>IF(COUNTIF(Clean_Table[Temp ID],Clean_Table[[#This Row],[Temp ID]])&gt;1,"Duplicate","Unique")</f>
        <v>Unique</v>
      </c>
      <c r="L239">
        <f>IF(Clean_Table[[#This Row],[Role]]="VIP",1,0)</f>
        <v>0</v>
      </c>
      <c r="M239">
        <f>IF(Clean_Table[[#This Row],[Role]]="Speaker",1,0)</f>
        <v>0</v>
      </c>
      <c r="N239">
        <f>IF(Clean_Table[[#This Row],[Role]]="Sponsor",1,0)</f>
        <v>0</v>
      </c>
      <c r="O239">
        <f>IF(Clean_Table[[#This Row],[Role]]="Attendee",1,0)</f>
        <v>1</v>
      </c>
      <c r="P239">
        <f>IF(Clean_Table[[#This Row],[Empty Cell Check]]="Missing",1,0)</f>
        <v>0</v>
      </c>
    </row>
    <row r="240" spans="1:16">
      <c r="A240" t="s">
        <v>17</v>
      </c>
      <c r="B240" t="s">
        <v>458</v>
      </c>
      <c r="C240" t="s">
        <v>112</v>
      </c>
      <c r="D240" t="s">
        <v>71</v>
      </c>
      <c r="E240" s="1" t="s">
        <v>829</v>
      </c>
      <c r="F240" t="s">
        <v>455</v>
      </c>
      <c r="G240" t="s">
        <v>31</v>
      </c>
      <c r="H240" t="s">
        <v>39</v>
      </c>
      <c r="I24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4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Allenriley.allen761@example.comNigeriaWebinar: AI Ethics10:00 PM35CNoneAttendee</v>
      </c>
      <c r="K240" t="str">
        <f>IF(COUNTIF(Clean_Table[Temp ID],Clean_Table[[#This Row],[Temp ID]])&gt;1,"Duplicate","Unique")</f>
        <v>Unique</v>
      </c>
      <c r="L240">
        <f>IF(Clean_Table[[#This Row],[Role]]="VIP",1,0)</f>
        <v>0</v>
      </c>
      <c r="M240">
        <f>IF(Clean_Table[[#This Row],[Role]]="Speaker",1,0)</f>
        <v>0</v>
      </c>
      <c r="N240">
        <f>IF(Clean_Table[[#This Row],[Role]]="Sponsor",1,0)</f>
        <v>0</v>
      </c>
      <c r="O240">
        <f>IF(Clean_Table[[#This Row],[Role]]="Attendee",1,0)</f>
        <v>1</v>
      </c>
      <c r="P240">
        <f>IF(Clean_Table[[#This Row],[Empty Cell Check]]="Missing",1,0)</f>
        <v>0</v>
      </c>
    </row>
    <row r="241" spans="1:16">
      <c r="A241" t="s">
        <v>381</v>
      </c>
      <c r="B241" t="s">
        <v>459</v>
      </c>
      <c r="C241" t="s">
        <v>12</v>
      </c>
      <c r="D241" t="s">
        <v>810</v>
      </c>
      <c r="E241" s="2" t="s">
        <v>828</v>
      </c>
      <c r="F241" t="s">
        <v>460</v>
      </c>
      <c r="G241" t="s">
        <v>31</v>
      </c>
      <c r="H241" t="s">
        <v>39</v>
      </c>
      <c r="I24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4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Jesse Wilsonjesse.wilson567@example.comUnited States04:30 PM35DNoneAttendee</v>
      </c>
      <c r="K241" t="str">
        <f>IF(COUNTIF(Clean_Table[Temp ID],Clean_Table[[#This Row],[Temp ID]])&gt;1,"Duplicate","Unique")</f>
        <v>Unique</v>
      </c>
      <c r="L241">
        <f>IF(Clean_Table[[#This Row],[Role]]="VIP",1,0)</f>
        <v>0</v>
      </c>
      <c r="M241">
        <f>IF(Clean_Table[[#This Row],[Role]]="Speaker",1,0)</f>
        <v>0</v>
      </c>
      <c r="N241">
        <f>IF(Clean_Table[[#This Row],[Role]]="Sponsor",1,0)</f>
        <v>0</v>
      </c>
      <c r="O241">
        <f>IF(Clean_Table[[#This Row],[Role]]="Attendee",1,0)</f>
        <v>1</v>
      </c>
      <c r="P241">
        <f>IF(Clean_Table[[#This Row],[Empty Cell Check]]="Missing",1,0)</f>
        <v>1</v>
      </c>
    </row>
    <row r="242" spans="1:16">
      <c r="A242" t="s">
        <v>127</v>
      </c>
      <c r="B242" t="s">
        <v>461</v>
      </c>
      <c r="C242" t="s">
        <v>810</v>
      </c>
      <c r="D242" t="s">
        <v>810</v>
      </c>
      <c r="E242" s="1" t="s">
        <v>848</v>
      </c>
      <c r="F242" t="s">
        <v>460</v>
      </c>
      <c r="G242" t="s">
        <v>31</v>
      </c>
      <c r="H242" t="s">
        <v>39</v>
      </c>
      <c r="I24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4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Lewiscasey.lewis83@example.com11:30 PM35DNoneAttendee</v>
      </c>
      <c r="K242" t="str">
        <f>IF(COUNTIF(Clean_Table[Temp ID],Clean_Table[[#This Row],[Temp ID]])&gt;1,"Duplicate","Unique")</f>
        <v>Unique</v>
      </c>
      <c r="L242">
        <f>IF(Clean_Table[[#This Row],[Role]]="VIP",1,0)</f>
        <v>0</v>
      </c>
      <c r="M242">
        <f>IF(Clean_Table[[#This Row],[Role]]="Speaker",1,0)</f>
        <v>0</v>
      </c>
      <c r="N242">
        <f>IF(Clean_Table[[#This Row],[Role]]="Sponsor",1,0)</f>
        <v>0</v>
      </c>
      <c r="O242">
        <f>IF(Clean_Table[[#This Row],[Role]]="Attendee",1,0)</f>
        <v>1</v>
      </c>
      <c r="P242">
        <f>IF(Clean_Table[[#This Row],[Empty Cell Check]]="Missing",1,0)</f>
        <v>1</v>
      </c>
    </row>
    <row r="243" spans="1:16">
      <c r="A243" t="s">
        <v>117</v>
      </c>
      <c r="B243" t="s">
        <v>462</v>
      </c>
      <c r="C243" t="s">
        <v>12</v>
      </c>
      <c r="D243" t="s">
        <v>810</v>
      </c>
      <c r="E243" s="1" t="s">
        <v>823</v>
      </c>
      <c r="F243" t="s">
        <v>460</v>
      </c>
      <c r="G243" t="s">
        <v>31</v>
      </c>
      <c r="H243" t="s">
        <v>39</v>
      </c>
      <c r="I24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4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Wilsontaylor.wilson855@example.comUnited States05:30 AM35DNoneAttendee</v>
      </c>
      <c r="K243" t="str">
        <f>IF(COUNTIF(Clean_Table[Temp ID],Clean_Table[[#This Row],[Temp ID]])&gt;1,"Duplicate","Unique")</f>
        <v>Unique</v>
      </c>
      <c r="L243">
        <f>IF(Clean_Table[[#This Row],[Role]]="VIP",1,0)</f>
        <v>0</v>
      </c>
      <c r="M243">
        <f>IF(Clean_Table[[#This Row],[Role]]="Speaker",1,0)</f>
        <v>0</v>
      </c>
      <c r="N243">
        <f>IF(Clean_Table[[#This Row],[Role]]="Sponsor",1,0)</f>
        <v>0</v>
      </c>
      <c r="O243">
        <f>IF(Clean_Table[[#This Row],[Role]]="Attendee",1,0)</f>
        <v>1</v>
      </c>
      <c r="P243">
        <f>IF(Clean_Table[[#This Row],[Empty Cell Check]]="Missing",1,0)</f>
        <v>1</v>
      </c>
    </row>
    <row r="244" spans="1:16">
      <c r="A244" t="s">
        <v>117</v>
      </c>
      <c r="B244" t="s">
        <v>463</v>
      </c>
      <c r="C244" t="s">
        <v>810</v>
      </c>
      <c r="D244" t="s">
        <v>50</v>
      </c>
      <c r="E244" s="1" t="s">
        <v>835</v>
      </c>
      <c r="F244" t="s">
        <v>460</v>
      </c>
      <c r="G244" t="s">
        <v>28</v>
      </c>
      <c r="H244" t="s">
        <v>39</v>
      </c>
      <c r="I24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4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Wilsontaylor.wilson393@example.comWorkshop: Excel Mastery02:30 PM35DKosherAttendee</v>
      </c>
      <c r="K244" t="str">
        <f>IF(COUNTIF(Clean_Table[Temp ID],Clean_Table[[#This Row],[Temp ID]])&gt;1,"Duplicate","Unique")</f>
        <v>Unique</v>
      </c>
      <c r="L244">
        <f>IF(Clean_Table[[#This Row],[Role]]="VIP",1,0)</f>
        <v>0</v>
      </c>
      <c r="M244">
        <f>IF(Clean_Table[[#This Row],[Role]]="Speaker",1,0)</f>
        <v>0</v>
      </c>
      <c r="N244">
        <f>IF(Clean_Table[[#This Row],[Role]]="Sponsor",1,0)</f>
        <v>0</v>
      </c>
      <c r="O244">
        <f>IF(Clean_Table[[#This Row],[Role]]="Attendee",1,0)</f>
        <v>1</v>
      </c>
      <c r="P244">
        <f>IF(Clean_Table[[#This Row],[Empty Cell Check]]="Missing",1,0)</f>
        <v>1</v>
      </c>
    </row>
    <row r="245" spans="1:16">
      <c r="A245" t="s">
        <v>242</v>
      </c>
      <c r="B245" t="s">
        <v>464</v>
      </c>
      <c r="C245" t="s">
        <v>68</v>
      </c>
      <c r="D245" t="s">
        <v>45</v>
      </c>
      <c r="E245" s="2" t="s">
        <v>821</v>
      </c>
      <c r="F245" t="s">
        <v>460</v>
      </c>
      <c r="G245" t="s">
        <v>91</v>
      </c>
      <c r="H245" t="s">
        <v>39</v>
      </c>
      <c r="I24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4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Smithmorgan.smith811@example.comIndiaKeynote: Future of Data09:30 AM35DHalalAttendee</v>
      </c>
      <c r="K245" t="str">
        <f>IF(COUNTIF(Clean_Table[Temp ID],Clean_Table[[#This Row],[Temp ID]])&gt;1,"Duplicate","Unique")</f>
        <v>Unique</v>
      </c>
      <c r="L245">
        <f>IF(Clean_Table[[#This Row],[Role]]="VIP",1,0)</f>
        <v>0</v>
      </c>
      <c r="M245">
        <f>IF(Clean_Table[[#This Row],[Role]]="Speaker",1,0)</f>
        <v>0</v>
      </c>
      <c r="N245">
        <f>IF(Clean_Table[[#This Row],[Role]]="Sponsor",1,0)</f>
        <v>0</v>
      </c>
      <c r="O245">
        <f>IF(Clean_Table[[#This Row],[Role]]="Attendee",1,0)</f>
        <v>1</v>
      </c>
      <c r="P245">
        <f>IF(Clean_Table[[#This Row],[Empty Cell Check]]="Missing",1,0)</f>
        <v>0</v>
      </c>
    </row>
    <row r="246" spans="1:16">
      <c r="A246" t="s">
        <v>69</v>
      </c>
      <c r="B246" t="s">
        <v>465</v>
      </c>
      <c r="C246" t="s">
        <v>101</v>
      </c>
      <c r="D246" t="s">
        <v>79</v>
      </c>
      <c r="E246" s="1" t="s">
        <v>834</v>
      </c>
      <c r="F246" t="s">
        <v>466</v>
      </c>
      <c r="G246" t="s">
        <v>15</v>
      </c>
      <c r="H246" t="s">
        <v>39</v>
      </c>
      <c r="I24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4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Clarkmorgan.clark971@example.comJapanPanel: Women in Tech05:00 AM36CVegetarianAttendee</v>
      </c>
      <c r="K246" t="str">
        <f>IF(COUNTIF(Clean_Table[Temp ID],Clean_Table[[#This Row],[Temp ID]])&gt;1,"Duplicate","Unique")</f>
        <v>Unique</v>
      </c>
      <c r="L246">
        <f>IF(Clean_Table[[#This Row],[Role]]="VIP",1,0)</f>
        <v>0</v>
      </c>
      <c r="M246">
        <f>IF(Clean_Table[[#This Row],[Role]]="Speaker",1,0)</f>
        <v>0</v>
      </c>
      <c r="N246">
        <f>IF(Clean_Table[[#This Row],[Role]]="Sponsor",1,0)</f>
        <v>0</v>
      </c>
      <c r="O246">
        <f>IF(Clean_Table[[#This Row],[Role]]="Attendee",1,0)</f>
        <v>1</v>
      </c>
      <c r="P246">
        <f>IF(Clean_Table[[#This Row],[Empty Cell Check]]="Missing",1,0)</f>
        <v>0</v>
      </c>
    </row>
    <row r="247" spans="1:16">
      <c r="A247" t="s">
        <v>180</v>
      </c>
      <c r="B247" t="s">
        <v>467</v>
      </c>
      <c r="C247" t="s">
        <v>55</v>
      </c>
      <c r="D247" t="s">
        <v>810</v>
      </c>
      <c r="E247" s="1" t="s">
        <v>845</v>
      </c>
      <c r="F247" t="s">
        <v>466</v>
      </c>
      <c r="G247" t="s">
        <v>810</v>
      </c>
      <c r="H247" t="s">
        <v>39</v>
      </c>
      <c r="I24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4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Allentaylor.allen265@example.comBrazil02:30 AM36CAttendee</v>
      </c>
      <c r="K247" t="str">
        <f>IF(COUNTIF(Clean_Table[Temp ID],Clean_Table[[#This Row],[Temp ID]])&gt;1,"Duplicate","Unique")</f>
        <v>Unique</v>
      </c>
      <c r="L247">
        <f>IF(Clean_Table[[#This Row],[Role]]="VIP",1,0)</f>
        <v>0</v>
      </c>
      <c r="M247">
        <f>IF(Clean_Table[[#This Row],[Role]]="Speaker",1,0)</f>
        <v>0</v>
      </c>
      <c r="N247">
        <f>IF(Clean_Table[[#This Row],[Role]]="Sponsor",1,0)</f>
        <v>0</v>
      </c>
      <c r="O247">
        <f>IF(Clean_Table[[#This Row],[Role]]="Attendee",1,0)</f>
        <v>1</v>
      </c>
      <c r="P247">
        <f>IF(Clean_Table[[#This Row],[Empty Cell Check]]="Missing",1,0)</f>
        <v>1</v>
      </c>
    </row>
    <row r="248" spans="1:16">
      <c r="A248" t="s">
        <v>393</v>
      </c>
      <c r="B248" t="s">
        <v>468</v>
      </c>
      <c r="C248" t="s">
        <v>37</v>
      </c>
      <c r="D248" t="s">
        <v>50</v>
      </c>
      <c r="E248" s="1" t="s">
        <v>828</v>
      </c>
      <c r="F248" t="s">
        <v>466</v>
      </c>
      <c r="G248" t="s">
        <v>28</v>
      </c>
      <c r="H248" t="s">
        <v>39</v>
      </c>
      <c r="I24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4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Halljamie.hall230@example.comCanadaWorkshop: Excel Mastery04:30 PM36CKosherAttendee</v>
      </c>
      <c r="K248" t="str">
        <f>IF(COUNTIF(Clean_Table[Temp ID],Clean_Table[[#This Row],[Temp ID]])&gt;1,"Duplicate","Unique")</f>
        <v>Unique</v>
      </c>
      <c r="L248">
        <f>IF(Clean_Table[[#This Row],[Role]]="VIP",1,0)</f>
        <v>0</v>
      </c>
      <c r="M248">
        <f>IF(Clean_Table[[#This Row],[Role]]="Speaker",1,0)</f>
        <v>0</v>
      </c>
      <c r="N248">
        <f>IF(Clean_Table[[#This Row],[Role]]="Sponsor",1,0)</f>
        <v>0</v>
      </c>
      <c r="O248">
        <f>IF(Clean_Table[[#This Row],[Role]]="Attendee",1,0)</f>
        <v>1</v>
      </c>
      <c r="P248">
        <f>IF(Clean_Table[[#This Row],[Empty Cell Check]]="Missing",1,0)</f>
        <v>0</v>
      </c>
    </row>
    <row r="249" spans="1:16">
      <c r="A249" t="s">
        <v>389</v>
      </c>
      <c r="B249" t="s">
        <v>469</v>
      </c>
      <c r="C249" t="s">
        <v>810</v>
      </c>
      <c r="D249" t="s">
        <v>71</v>
      </c>
      <c r="E249" s="1" t="s">
        <v>834</v>
      </c>
      <c r="F249" t="s">
        <v>466</v>
      </c>
      <c r="G249" t="s">
        <v>810</v>
      </c>
      <c r="H249" t="s">
        <v>39</v>
      </c>
      <c r="I24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4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Johnsontaylor.johnson15@example.comWebinar: AI Ethics05:00 AM36CAttendee</v>
      </c>
      <c r="K249" t="str">
        <f>IF(COUNTIF(Clean_Table[Temp ID],Clean_Table[[#This Row],[Temp ID]])&gt;1,"Duplicate","Unique")</f>
        <v>Unique</v>
      </c>
      <c r="L249">
        <f>IF(Clean_Table[[#This Row],[Role]]="VIP",1,0)</f>
        <v>0</v>
      </c>
      <c r="M249">
        <f>IF(Clean_Table[[#This Row],[Role]]="Speaker",1,0)</f>
        <v>0</v>
      </c>
      <c r="N249">
        <f>IF(Clean_Table[[#This Row],[Role]]="Sponsor",1,0)</f>
        <v>0</v>
      </c>
      <c r="O249">
        <f>IF(Clean_Table[[#This Row],[Role]]="Attendee",1,0)</f>
        <v>1</v>
      </c>
      <c r="P249">
        <f>IF(Clean_Table[[#This Row],[Empty Cell Check]]="Missing",1,0)</f>
        <v>1</v>
      </c>
    </row>
    <row r="250" spans="1:16">
      <c r="A250" t="s">
        <v>197</v>
      </c>
      <c r="B250" t="s">
        <v>470</v>
      </c>
      <c r="C250" t="s">
        <v>27</v>
      </c>
      <c r="D250" t="s">
        <v>810</v>
      </c>
      <c r="E250" s="1" t="s">
        <v>832</v>
      </c>
      <c r="F250" t="s">
        <v>471</v>
      </c>
      <c r="G250" t="s">
        <v>91</v>
      </c>
      <c r="H250" t="s">
        <v>39</v>
      </c>
      <c r="I25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5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Lewisjamie.lewis47@example.comFrance12:00 PM36DHalalAttendee</v>
      </c>
      <c r="K250" t="str">
        <f>IF(COUNTIF(Clean_Table[Temp ID],Clean_Table[[#This Row],[Temp ID]])&gt;1,"Duplicate","Unique")</f>
        <v>Unique</v>
      </c>
      <c r="L250">
        <f>IF(Clean_Table[[#This Row],[Role]]="VIP",1,0)</f>
        <v>0</v>
      </c>
      <c r="M250">
        <f>IF(Clean_Table[[#This Row],[Role]]="Speaker",1,0)</f>
        <v>0</v>
      </c>
      <c r="N250">
        <f>IF(Clean_Table[[#This Row],[Role]]="Sponsor",1,0)</f>
        <v>0</v>
      </c>
      <c r="O250">
        <f>IF(Clean_Table[[#This Row],[Role]]="Attendee",1,0)</f>
        <v>1</v>
      </c>
      <c r="P250">
        <f>IF(Clean_Table[[#This Row],[Empty Cell Check]]="Missing",1,0)</f>
        <v>1</v>
      </c>
    </row>
    <row r="251" spans="1:16">
      <c r="A251" t="s">
        <v>83</v>
      </c>
      <c r="B251" t="s">
        <v>472</v>
      </c>
      <c r="C251" t="s">
        <v>96</v>
      </c>
      <c r="D251" t="s">
        <v>45</v>
      </c>
      <c r="E251" s="1" t="s">
        <v>826</v>
      </c>
      <c r="F251" t="s">
        <v>471</v>
      </c>
      <c r="G251" t="s">
        <v>52</v>
      </c>
      <c r="H251" t="s">
        <v>39</v>
      </c>
      <c r="I25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5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Chris Walkerchris.walker369@example.comUnited KingdomKeynote: Future of Data02:00 PM36DVeganAttendee</v>
      </c>
      <c r="K251" t="str">
        <f>IF(COUNTIF(Clean_Table[Temp ID],Clean_Table[[#This Row],[Temp ID]])&gt;1,"Duplicate","Unique")</f>
        <v>Unique</v>
      </c>
      <c r="L251">
        <f>IF(Clean_Table[[#This Row],[Role]]="VIP",1,0)</f>
        <v>0</v>
      </c>
      <c r="M251">
        <f>IF(Clean_Table[[#This Row],[Role]]="Speaker",1,0)</f>
        <v>0</v>
      </c>
      <c r="N251">
        <f>IF(Clean_Table[[#This Row],[Role]]="Sponsor",1,0)</f>
        <v>0</v>
      </c>
      <c r="O251">
        <f>IF(Clean_Table[[#This Row],[Role]]="Attendee",1,0)</f>
        <v>1</v>
      </c>
      <c r="P251">
        <f>IF(Clean_Table[[#This Row],[Empty Cell Check]]="Missing",1,0)</f>
        <v>0</v>
      </c>
    </row>
    <row r="252" spans="1:16">
      <c r="A252" t="s">
        <v>255</v>
      </c>
      <c r="B252" t="s">
        <v>473</v>
      </c>
      <c r="C252" t="s">
        <v>101</v>
      </c>
      <c r="D252" t="s">
        <v>71</v>
      </c>
      <c r="E252" s="2" t="s">
        <v>835</v>
      </c>
      <c r="F252" t="s">
        <v>471</v>
      </c>
      <c r="G252" t="s">
        <v>15</v>
      </c>
      <c r="H252" t="s">
        <v>39</v>
      </c>
      <c r="I25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5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Walkertaylor.walker684@example.comJapanWebinar: AI Ethics02:30 PM36DVegetarianAttendee</v>
      </c>
      <c r="K252" t="str">
        <f>IF(COUNTIF(Clean_Table[Temp ID],Clean_Table[[#This Row],[Temp ID]])&gt;1,"Duplicate","Unique")</f>
        <v>Unique</v>
      </c>
      <c r="L252">
        <f>IF(Clean_Table[[#This Row],[Role]]="VIP",1,0)</f>
        <v>0</v>
      </c>
      <c r="M252">
        <f>IF(Clean_Table[[#This Row],[Role]]="Speaker",1,0)</f>
        <v>0</v>
      </c>
      <c r="N252">
        <f>IF(Clean_Table[[#This Row],[Role]]="Sponsor",1,0)</f>
        <v>0</v>
      </c>
      <c r="O252">
        <f>IF(Clean_Table[[#This Row],[Role]]="Attendee",1,0)</f>
        <v>1</v>
      </c>
      <c r="P252">
        <f>IF(Clean_Table[[#This Row],[Empty Cell Check]]="Missing",1,0)</f>
        <v>0</v>
      </c>
    </row>
    <row r="253" spans="1:16">
      <c r="A253" t="s">
        <v>105</v>
      </c>
      <c r="B253" t="s">
        <v>474</v>
      </c>
      <c r="C253" t="s">
        <v>112</v>
      </c>
      <c r="D253" t="s">
        <v>810</v>
      </c>
      <c r="E253" s="1" t="s">
        <v>859</v>
      </c>
      <c r="F253" t="s">
        <v>471</v>
      </c>
      <c r="G253" t="s">
        <v>28</v>
      </c>
      <c r="H253" t="s">
        <v>39</v>
      </c>
      <c r="I25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5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Jesse Allenjesse.allen676@example.comNigeria08:30 PM36DKosherAttendee</v>
      </c>
      <c r="K253" t="str">
        <f>IF(COUNTIF(Clean_Table[Temp ID],Clean_Table[[#This Row],[Temp ID]])&gt;1,"Duplicate","Unique")</f>
        <v>Unique</v>
      </c>
      <c r="L253">
        <f>IF(Clean_Table[[#This Row],[Role]]="VIP",1,0)</f>
        <v>0</v>
      </c>
      <c r="M253">
        <f>IF(Clean_Table[[#This Row],[Role]]="Speaker",1,0)</f>
        <v>0</v>
      </c>
      <c r="N253">
        <f>IF(Clean_Table[[#This Row],[Role]]="Sponsor",1,0)</f>
        <v>0</v>
      </c>
      <c r="O253">
        <f>IF(Clean_Table[[#This Row],[Role]]="Attendee",1,0)</f>
        <v>1</v>
      </c>
      <c r="P253">
        <f>IF(Clean_Table[[#This Row],[Empty Cell Check]]="Missing",1,0)</f>
        <v>1</v>
      </c>
    </row>
    <row r="254" spans="1:16">
      <c r="A254" t="s">
        <v>475</v>
      </c>
      <c r="B254" t="s">
        <v>476</v>
      </c>
      <c r="C254" t="s">
        <v>34</v>
      </c>
      <c r="D254" t="s">
        <v>45</v>
      </c>
      <c r="E254" s="1" t="s">
        <v>814</v>
      </c>
      <c r="F254" t="s">
        <v>477</v>
      </c>
      <c r="G254" t="s">
        <v>31</v>
      </c>
      <c r="H254" t="s">
        <v>39</v>
      </c>
      <c r="I25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5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Drew Browndrew.brown872@example.comGermanyKeynote: Future of Data11:00 PM37BNoneAttendee</v>
      </c>
      <c r="K254" t="str">
        <f>IF(COUNTIF(Clean_Table[Temp ID],Clean_Table[[#This Row],[Temp ID]])&gt;1,"Duplicate","Unique")</f>
        <v>Unique</v>
      </c>
      <c r="L254">
        <f>IF(Clean_Table[[#This Row],[Role]]="VIP",1,0)</f>
        <v>0</v>
      </c>
      <c r="M254">
        <f>IF(Clean_Table[[#This Row],[Role]]="Speaker",1,0)</f>
        <v>0</v>
      </c>
      <c r="N254">
        <f>IF(Clean_Table[[#This Row],[Role]]="Sponsor",1,0)</f>
        <v>0</v>
      </c>
      <c r="O254">
        <f>IF(Clean_Table[[#This Row],[Role]]="Attendee",1,0)</f>
        <v>1</v>
      </c>
      <c r="P254">
        <f>IF(Clean_Table[[#This Row],[Empty Cell Check]]="Missing",1,0)</f>
        <v>0</v>
      </c>
    </row>
    <row r="255" spans="1:16">
      <c r="A255" t="s">
        <v>151</v>
      </c>
      <c r="B255" t="s">
        <v>478</v>
      </c>
      <c r="C255" t="s">
        <v>37</v>
      </c>
      <c r="D255" t="s">
        <v>45</v>
      </c>
      <c r="E255" s="1" t="s">
        <v>818</v>
      </c>
      <c r="F255" t="s">
        <v>477</v>
      </c>
      <c r="G255" t="s">
        <v>91</v>
      </c>
      <c r="H255" t="s">
        <v>39</v>
      </c>
      <c r="I25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5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Clarkriley.clark39@example.comCanadaKeynote: Future of Data03:30 AM37BHalalAttendee</v>
      </c>
      <c r="K255" t="str">
        <f>IF(COUNTIF(Clean_Table[Temp ID],Clean_Table[[#This Row],[Temp ID]])&gt;1,"Duplicate","Unique")</f>
        <v>Unique</v>
      </c>
      <c r="L255">
        <f>IF(Clean_Table[[#This Row],[Role]]="VIP",1,0)</f>
        <v>0</v>
      </c>
      <c r="M255">
        <f>IF(Clean_Table[[#This Row],[Role]]="Speaker",1,0)</f>
        <v>0</v>
      </c>
      <c r="N255">
        <f>IF(Clean_Table[[#This Row],[Role]]="Sponsor",1,0)</f>
        <v>0</v>
      </c>
      <c r="O255">
        <f>IF(Clean_Table[[#This Row],[Role]]="Attendee",1,0)</f>
        <v>1</v>
      </c>
      <c r="P255">
        <f>IF(Clean_Table[[#This Row],[Empty Cell Check]]="Missing",1,0)</f>
        <v>0</v>
      </c>
    </row>
    <row r="256" spans="1:16">
      <c r="A256" t="s">
        <v>202</v>
      </c>
      <c r="B256" t="s">
        <v>479</v>
      </c>
      <c r="C256" t="s">
        <v>101</v>
      </c>
      <c r="D256" t="s">
        <v>50</v>
      </c>
      <c r="E256" s="2" t="s">
        <v>834</v>
      </c>
      <c r="F256" t="s">
        <v>477</v>
      </c>
      <c r="G256" t="s">
        <v>810</v>
      </c>
      <c r="H256" t="s">
        <v>39</v>
      </c>
      <c r="I25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5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Jesse Leejesse.lee776@example.comJapanWorkshop: Excel Mastery05:00 AM37BAttendee</v>
      </c>
      <c r="K256" t="str">
        <f>IF(COUNTIF(Clean_Table[Temp ID],Clean_Table[[#This Row],[Temp ID]])&gt;1,"Duplicate","Unique")</f>
        <v>Unique</v>
      </c>
      <c r="L256">
        <f>IF(Clean_Table[[#This Row],[Role]]="VIP",1,0)</f>
        <v>0</v>
      </c>
      <c r="M256">
        <f>IF(Clean_Table[[#This Row],[Role]]="Speaker",1,0)</f>
        <v>0</v>
      </c>
      <c r="N256">
        <f>IF(Clean_Table[[#This Row],[Role]]="Sponsor",1,0)</f>
        <v>0</v>
      </c>
      <c r="O256">
        <f>IF(Clean_Table[[#This Row],[Role]]="Attendee",1,0)</f>
        <v>1</v>
      </c>
      <c r="P256">
        <f>IF(Clean_Table[[#This Row],[Empty Cell Check]]="Missing",1,0)</f>
        <v>1</v>
      </c>
    </row>
    <row r="257" spans="1:16">
      <c r="A257" t="s">
        <v>183</v>
      </c>
      <c r="B257" t="s">
        <v>480</v>
      </c>
      <c r="C257" t="s">
        <v>34</v>
      </c>
      <c r="D257" t="s">
        <v>13</v>
      </c>
      <c r="E257" s="2" t="s">
        <v>821</v>
      </c>
      <c r="F257" t="s">
        <v>477</v>
      </c>
      <c r="G257" t="s">
        <v>91</v>
      </c>
      <c r="H257" t="s">
        <v>39</v>
      </c>
      <c r="I25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5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Walkermorgan.walker322@example.comGermanyTraining: Dashboard Design09:30 AM37BHalalAttendee</v>
      </c>
      <c r="K257" t="str">
        <f>IF(COUNTIF(Clean_Table[Temp ID],Clean_Table[[#This Row],[Temp ID]])&gt;1,"Duplicate","Unique")</f>
        <v>Unique</v>
      </c>
      <c r="L257">
        <f>IF(Clean_Table[[#This Row],[Role]]="VIP",1,0)</f>
        <v>0</v>
      </c>
      <c r="M257">
        <f>IF(Clean_Table[[#This Row],[Role]]="Speaker",1,0)</f>
        <v>0</v>
      </c>
      <c r="N257">
        <f>IF(Clean_Table[[#This Row],[Role]]="Sponsor",1,0)</f>
        <v>0</v>
      </c>
      <c r="O257">
        <f>IF(Clean_Table[[#This Row],[Role]]="Attendee",1,0)</f>
        <v>1</v>
      </c>
      <c r="P257">
        <f>IF(Clean_Table[[#This Row],[Empty Cell Check]]="Missing",1,0)</f>
        <v>0</v>
      </c>
    </row>
    <row r="258" spans="1:16">
      <c r="A258" t="s">
        <v>117</v>
      </c>
      <c r="B258" t="s">
        <v>481</v>
      </c>
      <c r="C258" t="s">
        <v>810</v>
      </c>
      <c r="D258" t="s">
        <v>79</v>
      </c>
      <c r="E258" s="1" t="s">
        <v>848</v>
      </c>
      <c r="F258" t="s">
        <v>482</v>
      </c>
      <c r="G258" t="s">
        <v>810</v>
      </c>
      <c r="H258" t="s">
        <v>39</v>
      </c>
      <c r="I25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5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Wilsontaylor.wilson150@example.comPanel: Women in Tech11:30 PM37CAttendee</v>
      </c>
      <c r="K258" t="str">
        <f>IF(COUNTIF(Clean_Table[Temp ID],Clean_Table[[#This Row],[Temp ID]])&gt;1,"Duplicate","Unique")</f>
        <v>Unique</v>
      </c>
      <c r="L258">
        <f>IF(Clean_Table[[#This Row],[Role]]="VIP",1,0)</f>
        <v>0</v>
      </c>
      <c r="M258">
        <f>IF(Clean_Table[[#This Row],[Role]]="Speaker",1,0)</f>
        <v>0</v>
      </c>
      <c r="N258">
        <f>IF(Clean_Table[[#This Row],[Role]]="Sponsor",1,0)</f>
        <v>0</v>
      </c>
      <c r="O258">
        <f>IF(Clean_Table[[#This Row],[Role]]="Attendee",1,0)</f>
        <v>1</v>
      </c>
      <c r="P258">
        <f>IF(Clean_Table[[#This Row],[Empty Cell Check]]="Missing",1,0)</f>
        <v>1</v>
      </c>
    </row>
    <row r="259" spans="1:16">
      <c r="A259" t="s">
        <v>155</v>
      </c>
      <c r="B259" t="s">
        <v>483</v>
      </c>
      <c r="C259" t="s">
        <v>96</v>
      </c>
      <c r="D259" t="s">
        <v>79</v>
      </c>
      <c r="E259" s="2" t="s">
        <v>825</v>
      </c>
      <c r="F259" t="s">
        <v>484</v>
      </c>
      <c r="G259" t="s">
        <v>810</v>
      </c>
      <c r="H259" t="s">
        <v>39</v>
      </c>
      <c r="I25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5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Wilsoncasey.wilson507@example.comUnited KingdomPanel: Women in Tech10:00 AM37DAttendee</v>
      </c>
      <c r="K259" t="str">
        <f>IF(COUNTIF(Clean_Table[Temp ID],Clean_Table[[#This Row],[Temp ID]])&gt;1,"Duplicate","Unique")</f>
        <v>Unique</v>
      </c>
      <c r="L259">
        <f>IF(Clean_Table[[#This Row],[Role]]="VIP",1,0)</f>
        <v>0</v>
      </c>
      <c r="M259">
        <f>IF(Clean_Table[[#This Row],[Role]]="Speaker",1,0)</f>
        <v>0</v>
      </c>
      <c r="N259">
        <f>IF(Clean_Table[[#This Row],[Role]]="Sponsor",1,0)</f>
        <v>0</v>
      </c>
      <c r="O259">
        <f>IF(Clean_Table[[#This Row],[Role]]="Attendee",1,0)</f>
        <v>1</v>
      </c>
      <c r="P259">
        <f>IF(Clean_Table[[#This Row],[Empty Cell Check]]="Missing",1,0)</f>
        <v>1</v>
      </c>
    </row>
    <row r="260" spans="1:16">
      <c r="A260" t="s">
        <v>73</v>
      </c>
      <c r="B260" t="s">
        <v>485</v>
      </c>
      <c r="C260" t="s">
        <v>34</v>
      </c>
      <c r="D260" t="s">
        <v>45</v>
      </c>
      <c r="E260" s="2" t="s">
        <v>831</v>
      </c>
      <c r="F260" t="s">
        <v>484</v>
      </c>
      <c r="G260" t="s">
        <v>15</v>
      </c>
      <c r="H260" t="s">
        <v>39</v>
      </c>
      <c r="I26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6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Smithtaylor.smith966@example.comGermanyKeynote: Future of Data06:30 PM37DVegetarianAttendee</v>
      </c>
      <c r="K260" t="str">
        <f>IF(COUNTIF(Clean_Table[Temp ID],Clean_Table[[#This Row],[Temp ID]])&gt;1,"Duplicate","Unique")</f>
        <v>Unique</v>
      </c>
      <c r="L260">
        <f>IF(Clean_Table[[#This Row],[Role]]="VIP",1,0)</f>
        <v>0</v>
      </c>
      <c r="M260">
        <f>IF(Clean_Table[[#This Row],[Role]]="Speaker",1,0)</f>
        <v>0</v>
      </c>
      <c r="N260">
        <f>IF(Clean_Table[[#This Row],[Role]]="Sponsor",1,0)</f>
        <v>0</v>
      </c>
      <c r="O260">
        <f>IF(Clean_Table[[#This Row],[Role]]="Attendee",1,0)</f>
        <v>1</v>
      </c>
      <c r="P260">
        <f>IF(Clean_Table[[#This Row],[Empty Cell Check]]="Missing",1,0)</f>
        <v>0</v>
      </c>
    </row>
    <row r="261" spans="1:16">
      <c r="A261" t="s">
        <v>330</v>
      </c>
      <c r="B261" t="s">
        <v>486</v>
      </c>
      <c r="C261" t="s">
        <v>37</v>
      </c>
      <c r="D261" t="s">
        <v>810</v>
      </c>
      <c r="E261" s="2" t="s">
        <v>831</v>
      </c>
      <c r="F261" t="s">
        <v>484</v>
      </c>
      <c r="G261" t="s">
        <v>810</v>
      </c>
      <c r="H261" t="s">
        <v>39</v>
      </c>
      <c r="I26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6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Alex Walkeralex.walker944@example.comCanada06:30 PM37DAttendee</v>
      </c>
      <c r="K261" t="str">
        <f>IF(COUNTIF(Clean_Table[Temp ID],Clean_Table[[#This Row],[Temp ID]])&gt;1,"Duplicate","Unique")</f>
        <v>Unique</v>
      </c>
      <c r="L261">
        <f>IF(Clean_Table[[#This Row],[Role]]="VIP",1,0)</f>
        <v>0</v>
      </c>
      <c r="M261">
        <f>IF(Clean_Table[[#This Row],[Role]]="Speaker",1,0)</f>
        <v>0</v>
      </c>
      <c r="N261">
        <f>IF(Clean_Table[[#This Row],[Role]]="Sponsor",1,0)</f>
        <v>0</v>
      </c>
      <c r="O261">
        <f>IF(Clean_Table[[#This Row],[Role]]="Attendee",1,0)</f>
        <v>1</v>
      </c>
      <c r="P261">
        <f>IF(Clean_Table[[#This Row],[Empty Cell Check]]="Missing",1,0)</f>
        <v>1</v>
      </c>
    </row>
    <row r="262" spans="1:16">
      <c r="A262" t="s">
        <v>170</v>
      </c>
      <c r="B262" t="s">
        <v>487</v>
      </c>
      <c r="C262" t="s">
        <v>55</v>
      </c>
      <c r="D262" t="s">
        <v>45</v>
      </c>
      <c r="E262" s="2" t="s">
        <v>849</v>
      </c>
      <c r="F262" t="s">
        <v>488</v>
      </c>
      <c r="G262" t="s">
        <v>91</v>
      </c>
      <c r="H262" t="s">
        <v>39</v>
      </c>
      <c r="I26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6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Jordan Halljordan.hall882@example.comBrazilKeynote: Future of Data10:30 PM38AHalalAttendee</v>
      </c>
      <c r="K262" t="str">
        <f>IF(COUNTIF(Clean_Table[Temp ID],Clean_Table[[#This Row],[Temp ID]])&gt;1,"Duplicate","Unique")</f>
        <v>Unique</v>
      </c>
      <c r="L262">
        <f>IF(Clean_Table[[#This Row],[Role]]="VIP",1,0)</f>
        <v>0</v>
      </c>
      <c r="M262">
        <f>IF(Clean_Table[[#This Row],[Role]]="Speaker",1,0)</f>
        <v>0</v>
      </c>
      <c r="N262">
        <f>IF(Clean_Table[[#This Row],[Role]]="Sponsor",1,0)</f>
        <v>0</v>
      </c>
      <c r="O262">
        <f>IF(Clean_Table[[#This Row],[Role]]="Attendee",1,0)</f>
        <v>1</v>
      </c>
      <c r="P262">
        <f>IF(Clean_Table[[#This Row],[Empty Cell Check]]="Missing",1,0)</f>
        <v>0</v>
      </c>
    </row>
    <row r="263" spans="1:16">
      <c r="A263" t="s">
        <v>257</v>
      </c>
      <c r="B263" t="s">
        <v>489</v>
      </c>
      <c r="C263" t="s">
        <v>68</v>
      </c>
      <c r="D263" t="s">
        <v>13</v>
      </c>
      <c r="E263" s="2" t="s">
        <v>852</v>
      </c>
      <c r="F263" t="s">
        <v>488</v>
      </c>
      <c r="G263" t="s">
        <v>52</v>
      </c>
      <c r="H263" t="s">
        <v>39</v>
      </c>
      <c r="I26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6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Walkerjamie.walker259@example.comIndiaTraining: Dashboard Design09:30 PM38AVeganAttendee</v>
      </c>
      <c r="K263" t="str">
        <f>IF(COUNTIF(Clean_Table[Temp ID],Clean_Table[[#This Row],[Temp ID]])&gt;1,"Duplicate","Unique")</f>
        <v>Unique</v>
      </c>
      <c r="L263">
        <f>IF(Clean_Table[[#This Row],[Role]]="VIP",1,0)</f>
        <v>0</v>
      </c>
      <c r="M263">
        <f>IF(Clean_Table[[#This Row],[Role]]="Speaker",1,0)</f>
        <v>0</v>
      </c>
      <c r="N263">
        <f>IF(Clean_Table[[#This Row],[Role]]="Sponsor",1,0)</f>
        <v>0</v>
      </c>
      <c r="O263">
        <f>IF(Clean_Table[[#This Row],[Role]]="Attendee",1,0)</f>
        <v>1</v>
      </c>
      <c r="P263">
        <f>IF(Clean_Table[[#This Row],[Empty Cell Check]]="Missing",1,0)</f>
        <v>0</v>
      </c>
    </row>
    <row r="264" spans="1:16">
      <c r="A264" t="s">
        <v>416</v>
      </c>
      <c r="B264" t="s">
        <v>490</v>
      </c>
      <c r="C264" t="s">
        <v>27</v>
      </c>
      <c r="D264" t="s">
        <v>71</v>
      </c>
      <c r="E264" s="1" t="s">
        <v>844</v>
      </c>
      <c r="F264" t="s">
        <v>491</v>
      </c>
      <c r="G264" t="s">
        <v>28</v>
      </c>
      <c r="H264" t="s">
        <v>39</v>
      </c>
      <c r="I26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6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Chris Lewischris.lewis690@example.comFranceWebinar: AI Ethics02:00 AM38BKosherAttendee</v>
      </c>
      <c r="K264" t="str">
        <f>IF(COUNTIF(Clean_Table[Temp ID],Clean_Table[[#This Row],[Temp ID]])&gt;1,"Duplicate","Unique")</f>
        <v>Unique</v>
      </c>
      <c r="L264">
        <f>IF(Clean_Table[[#This Row],[Role]]="VIP",1,0)</f>
        <v>0</v>
      </c>
      <c r="M264">
        <f>IF(Clean_Table[[#This Row],[Role]]="Speaker",1,0)</f>
        <v>0</v>
      </c>
      <c r="N264">
        <f>IF(Clean_Table[[#This Row],[Role]]="Sponsor",1,0)</f>
        <v>0</v>
      </c>
      <c r="O264">
        <f>IF(Clean_Table[[#This Row],[Role]]="Attendee",1,0)</f>
        <v>1</v>
      </c>
      <c r="P264">
        <f>IF(Clean_Table[[#This Row],[Empty Cell Check]]="Missing",1,0)</f>
        <v>0</v>
      </c>
    </row>
    <row r="265" spans="1:16">
      <c r="A265" t="s">
        <v>92</v>
      </c>
      <c r="B265" t="s">
        <v>492</v>
      </c>
      <c r="C265" t="s">
        <v>78</v>
      </c>
      <c r="D265" t="s">
        <v>45</v>
      </c>
      <c r="E265" s="2" t="s">
        <v>822</v>
      </c>
      <c r="F265" t="s">
        <v>493</v>
      </c>
      <c r="G265" t="s">
        <v>810</v>
      </c>
      <c r="H265" t="s">
        <v>39</v>
      </c>
      <c r="I26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6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Jordan Brownjordan.brown96@example.comAustraliaKeynote: Future of Data04:00 AM38CAttendee</v>
      </c>
      <c r="K265" t="str">
        <f>IF(COUNTIF(Clean_Table[Temp ID],Clean_Table[[#This Row],[Temp ID]])&gt;1,"Duplicate","Unique")</f>
        <v>Unique</v>
      </c>
      <c r="L265">
        <f>IF(Clean_Table[[#This Row],[Role]]="VIP",1,0)</f>
        <v>0</v>
      </c>
      <c r="M265">
        <f>IF(Clean_Table[[#This Row],[Role]]="Speaker",1,0)</f>
        <v>0</v>
      </c>
      <c r="N265">
        <f>IF(Clean_Table[[#This Row],[Role]]="Sponsor",1,0)</f>
        <v>0</v>
      </c>
      <c r="O265">
        <f>IF(Clean_Table[[#This Row],[Role]]="Attendee",1,0)</f>
        <v>1</v>
      </c>
      <c r="P265">
        <f>IF(Clean_Table[[#This Row],[Empty Cell Check]]="Missing",1,0)</f>
        <v>1</v>
      </c>
    </row>
    <row r="266" spans="1:16">
      <c r="A266" t="s">
        <v>494</v>
      </c>
      <c r="B266" t="s">
        <v>495</v>
      </c>
      <c r="C266" t="s">
        <v>810</v>
      </c>
      <c r="D266" t="s">
        <v>810</v>
      </c>
      <c r="E266" s="1" t="s">
        <v>820</v>
      </c>
      <c r="F266" t="s">
        <v>493</v>
      </c>
      <c r="G266" t="s">
        <v>810</v>
      </c>
      <c r="H266" t="s">
        <v>39</v>
      </c>
      <c r="I26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6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Lewisriley.lewis396@example.com08:00 PM38CAttendee</v>
      </c>
      <c r="K266" t="str">
        <f>IF(COUNTIF(Clean_Table[Temp ID],Clean_Table[[#This Row],[Temp ID]])&gt;1,"Duplicate","Unique")</f>
        <v>Unique</v>
      </c>
      <c r="L266">
        <f>IF(Clean_Table[[#This Row],[Role]]="VIP",1,0)</f>
        <v>0</v>
      </c>
      <c r="M266">
        <f>IF(Clean_Table[[#This Row],[Role]]="Speaker",1,0)</f>
        <v>0</v>
      </c>
      <c r="N266">
        <f>IF(Clean_Table[[#This Row],[Role]]="Sponsor",1,0)</f>
        <v>0</v>
      </c>
      <c r="O266">
        <f>IF(Clean_Table[[#This Row],[Role]]="Attendee",1,0)</f>
        <v>1</v>
      </c>
      <c r="P266">
        <f>IF(Clean_Table[[#This Row],[Empty Cell Check]]="Missing",1,0)</f>
        <v>1</v>
      </c>
    </row>
    <row r="267" spans="1:16">
      <c r="A267" t="s">
        <v>443</v>
      </c>
      <c r="B267" t="s">
        <v>496</v>
      </c>
      <c r="C267" t="s">
        <v>101</v>
      </c>
      <c r="D267" t="s">
        <v>810</v>
      </c>
      <c r="E267" s="2" t="s">
        <v>854</v>
      </c>
      <c r="F267" t="s">
        <v>497</v>
      </c>
      <c r="G267" t="s">
        <v>810</v>
      </c>
      <c r="H267" t="s">
        <v>39</v>
      </c>
      <c r="I26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6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Alex Leealex.lee482@example.comJapan08:00 AM38DAttendee</v>
      </c>
      <c r="K267" t="str">
        <f>IF(COUNTIF(Clean_Table[Temp ID],Clean_Table[[#This Row],[Temp ID]])&gt;1,"Duplicate","Unique")</f>
        <v>Unique</v>
      </c>
      <c r="L267">
        <f>IF(Clean_Table[[#This Row],[Role]]="VIP",1,0)</f>
        <v>0</v>
      </c>
      <c r="M267">
        <f>IF(Clean_Table[[#This Row],[Role]]="Speaker",1,0)</f>
        <v>0</v>
      </c>
      <c r="N267">
        <f>IF(Clean_Table[[#This Row],[Role]]="Sponsor",1,0)</f>
        <v>0</v>
      </c>
      <c r="O267">
        <f>IF(Clean_Table[[#This Row],[Role]]="Attendee",1,0)</f>
        <v>1</v>
      </c>
      <c r="P267">
        <f>IF(Clean_Table[[#This Row],[Empty Cell Check]]="Missing",1,0)</f>
        <v>1</v>
      </c>
    </row>
    <row r="268" spans="1:16">
      <c r="A268" t="s">
        <v>396</v>
      </c>
      <c r="B268" t="s">
        <v>498</v>
      </c>
      <c r="C268" t="s">
        <v>34</v>
      </c>
      <c r="D268" t="s">
        <v>50</v>
      </c>
      <c r="E268" s="2" t="s">
        <v>848</v>
      </c>
      <c r="F268" t="s">
        <v>497</v>
      </c>
      <c r="G268" t="s">
        <v>91</v>
      </c>
      <c r="H268" t="s">
        <v>21</v>
      </c>
      <c r="I26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6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Leeriley.lee272@example.comGermanyWorkshop: Excel Mastery11:30 PM38DHalalSpeaker</v>
      </c>
      <c r="K268" t="str">
        <f>IF(COUNTIF(Clean_Table[Temp ID],Clean_Table[[#This Row],[Temp ID]])&gt;1,"Duplicate","Unique")</f>
        <v>Unique</v>
      </c>
      <c r="L268">
        <f>IF(Clean_Table[[#This Row],[Role]]="VIP",1,0)</f>
        <v>0</v>
      </c>
      <c r="M268">
        <f>IF(Clean_Table[[#This Row],[Role]]="Speaker",1,0)</f>
        <v>1</v>
      </c>
      <c r="N268">
        <f>IF(Clean_Table[[#This Row],[Role]]="Sponsor",1,0)</f>
        <v>0</v>
      </c>
      <c r="O268">
        <f>IF(Clean_Table[[#This Row],[Role]]="Attendee",1,0)</f>
        <v>0</v>
      </c>
      <c r="P268">
        <f>IF(Clean_Table[[#This Row],[Empty Cell Check]]="Missing",1,0)</f>
        <v>0</v>
      </c>
    </row>
    <row r="269" spans="1:16">
      <c r="A269" t="s">
        <v>499</v>
      </c>
      <c r="B269" t="s">
        <v>500</v>
      </c>
      <c r="C269" t="s">
        <v>112</v>
      </c>
      <c r="D269" t="s">
        <v>810</v>
      </c>
      <c r="E269" s="1" t="s">
        <v>819</v>
      </c>
      <c r="F269" t="s">
        <v>501</v>
      </c>
      <c r="G269" t="s">
        <v>810</v>
      </c>
      <c r="H269" t="s">
        <v>39</v>
      </c>
      <c r="I26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6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Chris Smithchris.smith339@example.comNigeria01:00 AM39AAttendee</v>
      </c>
      <c r="K269" t="str">
        <f>IF(COUNTIF(Clean_Table[Temp ID],Clean_Table[[#This Row],[Temp ID]])&gt;1,"Duplicate","Unique")</f>
        <v>Unique</v>
      </c>
      <c r="L269">
        <f>IF(Clean_Table[[#This Row],[Role]]="VIP",1,0)</f>
        <v>0</v>
      </c>
      <c r="M269">
        <f>IF(Clean_Table[[#This Row],[Role]]="Speaker",1,0)</f>
        <v>0</v>
      </c>
      <c r="N269">
        <f>IF(Clean_Table[[#This Row],[Role]]="Sponsor",1,0)</f>
        <v>0</v>
      </c>
      <c r="O269">
        <f>IF(Clean_Table[[#This Row],[Role]]="Attendee",1,0)</f>
        <v>1</v>
      </c>
      <c r="P269">
        <f>IF(Clean_Table[[#This Row],[Empty Cell Check]]="Missing",1,0)</f>
        <v>1</v>
      </c>
    </row>
    <row r="270" spans="1:16">
      <c r="A270" t="s">
        <v>416</v>
      </c>
      <c r="B270" t="s">
        <v>502</v>
      </c>
      <c r="C270" t="s">
        <v>96</v>
      </c>
      <c r="D270" t="s">
        <v>71</v>
      </c>
      <c r="E270" s="2" t="s">
        <v>826</v>
      </c>
      <c r="F270" t="s">
        <v>501</v>
      </c>
      <c r="G270" t="s">
        <v>28</v>
      </c>
      <c r="H270" t="s">
        <v>39</v>
      </c>
      <c r="I27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7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Chris Lewischris.lewis966@example.comUnited KingdomWebinar: AI Ethics02:00 PM39AKosherAttendee</v>
      </c>
      <c r="K270" t="str">
        <f>IF(COUNTIF(Clean_Table[Temp ID],Clean_Table[[#This Row],[Temp ID]])&gt;1,"Duplicate","Unique")</f>
        <v>Unique</v>
      </c>
      <c r="L270">
        <f>IF(Clean_Table[[#This Row],[Role]]="VIP",1,0)</f>
        <v>0</v>
      </c>
      <c r="M270">
        <f>IF(Clean_Table[[#This Row],[Role]]="Speaker",1,0)</f>
        <v>0</v>
      </c>
      <c r="N270">
        <f>IF(Clean_Table[[#This Row],[Role]]="Sponsor",1,0)</f>
        <v>0</v>
      </c>
      <c r="O270">
        <f>IF(Clean_Table[[#This Row],[Role]]="Attendee",1,0)</f>
        <v>1</v>
      </c>
      <c r="P270">
        <f>IF(Clean_Table[[#This Row],[Empty Cell Check]]="Missing",1,0)</f>
        <v>0</v>
      </c>
    </row>
    <row r="271" spans="1:16">
      <c r="A271" t="s">
        <v>202</v>
      </c>
      <c r="B271" t="s">
        <v>503</v>
      </c>
      <c r="C271" t="s">
        <v>68</v>
      </c>
      <c r="D271" t="s">
        <v>810</v>
      </c>
      <c r="E271" s="1" t="s">
        <v>861</v>
      </c>
      <c r="F271" t="s">
        <v>504</v>
      </c>
      <c r="G271" t="s">
        <v>91</v>
      </c>
      <c r="H271" t="s">
        <v>39</v>
      </c>
      <c r="I27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7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Jesse Leejesse.lee804@example.comIndia01:30 AM39BHalalAttendee</v>
      </c>
      <c r="K271" t="str">
        <f>IF(COUNTIF(Clean_Table[Temp ID],Clean_Table[[#This Row],[Temp ID]])&gt;1,"Duplicate","Unique")</f>
        <v>Unique</v>
      </c>
      <c r="L271">
        <f>IF(Clean_Table[[#This Row],[Role]]="VIP",1,0)</f>
        <v>0</v>
      </c>
      <c r="M271">
        <f>IF(Clean_Table[[#This Row],[Role]]="Speaker",1,0)</f>
        <v>0</v>
      </c>
      <c r="N271">
        <f>IF(Clean_Table[[#This Row],[Role]]="Sponsor",1,0)</f>
        <v>0</v>
      </c>
      <c r="O271">
        <f>IF(Clean_Table[[#This Row],[Role]]="Attendee",1,0)</f>
        <v>1</v>
      </c>
      <c r="P271">
        <f>IF(Clean_Table[[#This Row],[Empty Cell Check]]="Missing",1,0)</f>
        <v>1</v>
      </c>
    </row>
    <row r="272" spans="1:16">
      <c r="A272" t="s">
        <v>250</v>
      </c>
      <c r="B272" t="s">
        <v>505</v>
      </c>
      <c r="C272" t="s">
        <v>78</v>
      </c>
      <c r="D272" t="s">
        <v>13</v>
      </c>
      <c r="E272" s="1" t="s">
        <v>839</v>
      </c>
      <c r="F272" t="s">
        <v>506</v>
      </c>
      <c r="G272" t="s">
        <v>31</v>
      </c>
      <c r="H272" t="s">
        <v>39</v>
      </c>
      <c r="I27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7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Smithriley.smith106@example.comAustraliaTraining: Dashboard Design09:00 AM39CNoneAttendee</v>
      </c>
      <c r="K272" t="str">
        <f>IF(COUNTIF(Clean_Table[Temp ID],Clean_Table[[#This Row],[Temp ID]])&gt;1,"Duplicate","Unique")</f>
        <v>Unique</v>
      </c>
      <c r="L272">
        <f>IF(Clean_Table[[#This Row],[Role]]="VIP",1,0)</f>
        <v>0</v>
      </c>
      <c r="M272">
        <f>IF(Clean_Table[[#This Row],[Role]]="Speaker",1,0)</f>
        <v>0</v>
      </c>
      <c r="N272">
        <f>IF(Clean_Table[[#This Row],[Role]]="Sponsor",1,0)</f>
        <v>0</v>
      </c>
      <c r="O272">
        <f>IF(Clean_Table[[#This Row],[Role]]="Attendee",1,0)</f>
        <v>1</v>
      </c>
      <c r="P272">
        <f>IF(Clean_Table[[#This Row],[Empty Cell Check]]="Missing",1,0)</f>
        <v>0</v>
      </c>
    </row>
    <row r="273" spans="1:16">
      <c r="A273" t="s">
        <v>507</v>
      </c>
      <c r="B273" t="s">
        <v>508</v>
      </c>
      <c r="C273" t="s">
        <v>68</v>
      </c>
      <c r="D273" t="s">
        <v>79</v>
      </c>
      <c r="E273" s="2" t="s">
        <v>837</v>
      </c>
      <c r="F273" t="s">
        <v>506</v>
      </c>
      <c r="G273" t="s">
        <v>31</v>
      </c>
      <c r="H273" t="s">
        <v>39</v>
      </c>
      <c r="I27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7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Leejamie.lee500@example.comIndiaPanel: Women in Tech10:30 AM39CNoneAttendee</v>
      </c>
      <c r="K273" t="str">
        <f>IF(COUNTIF(Clean_Table[Temp ID],Clean_Table[[#This Row],[Temp ID]])&gt;1,"Duplicate","Unique")</f>
        <v>Unique</v>
      </c>
      <c r="L273">
        <f>IF(Clean_Table[[#This Row],[Role]]="VIP",1,0)</f>
        <v>0</v>
      </c>
      <c r="M273">
        <f>IF(Clean_Table[[#This Row],[Role]]="Speaker",1,0)</f>
        <v>0</v>
      </c>
      <c r="N273">
        <f>IF(Clean_Table[[#This Row],[Role]]="Sponsor",1,0)</f>
        <v>0</v>
      </c>
      <c r="O273">
        <f>IF(Clean_Table[[#This Row],[Role]]="Attendee",1,0)</f>
        <v>1</v>
      </c>
      <c r="P273">
        <f>IF(Clean_Table[[#This Row],[Empty Cell Check]]="Missing",1,0)</f>
        <v>0</v>
      </c>
    </row>
    <row r="274" spans="1:16">
      <c r="A274" t="s">
        <v>108</v>
      </c>
      <c r="B274" t="s">
        <v>509</v>
      </c>
      <c r="C274" t="s">
        <v>37</v>
      </c>
      <c r="D274" t="s">
        <v>79</v>
      </c>
      <c r="E274" s="2" t="s">
        <v>828</v>
      </c>
      <c r="F274" t="s">
        <v>510</v>
      </c>
      <c r="G274" t="s">
        <v>31</v>
      </c>
      <c r="H274" t="s">
        <v>39</v>
      </c>
      <c r="I27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7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Wilsonjamie.wilson469@example.comCanadaPanel: Women in Tech04:30 PM39DNoneAttendee</v>
      </c>
      <c r="K274" t="str">
        <f>IF(COUNTIF(Clean_Table[Temp ID],Clean_Table[[#This Row],[Temp ID]])&gt;1,"Duplicate","Unique")</f>
        <v>Unique</v>
      </c>
      <c r="L274">
        <f>IF(Clean_Table[[#This Row],[Role]]="VIP",1,0)</f>
        <v>0</v>
      </c>
      <c r="M274">
        <f>IF(Clean_Table[[#This Row],[Role]]="Speaker",1,0)</f>
        <v>0</v>
      </c>
      <c r="N274">
        <f>IF(Clean_Table[[#This Row],[Role]]="Sponsor",1,0)</f>
        <v>0</v>
      </c>
      <c r="O274">
        <f>IF(Clean_Table[[#This Row],[Role]]="Attendee",1,0)</f>
        <v>1</v>
      </c>
      <c r="P274">
        <f>IF(Clean_Table[[#This Row],[Empty Cell Check]]="Missing",1,0)</f>
        <v>0</v>
      </c>
    </row>
    <row r="275" spans="1:16">
      <c r="A275" t="s">
        <v>17</v>
      </c>
      <c r="B275" t="s">
        <v>511</v>
      </c>
      <c r="C275" t="s">
        <v>112</v>
      </c>
      <c r="D275" t="s">
        <v>45</v>
      </c>
      <c r="E275" s="1" t="s">
        <v>851</v>
      </c>
      <c r="F275" t="s">
        <v>510</v>
      </c>
      <c r="G275" t="s">
        <v>52</v>
      </c>
      <c r="H275" t="s">
        <v>39</v>
      </c>
      <c r="I27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7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Allenriley.allen624@example.comNigeriaKeynote: Future of Data05:30 PM39DVeganAttendee</v>
      </c>
      <c r="K275" t="str">
        <f>IF(COUNTIF(Clean_Table[Temp ID],Clean_Table[[#This Row],[Temp ID]])&gt;1,"Duplicate","Unique")</f>
        <v>Unique</v>
      </c>
      <c r="L275">
        <f>IF(Clean_Table[[#This Row],[Role]]="VIP",1,0)</f>
        <v>0</v>
      </c>
      <c r="M275">
        <f>IF(Clean_Table[[#This Row],[Role]]="Speaker",1,0)</f>
        <v>0</v>
      </c>
      <c r="N275">
        <f>IF(Clean_Table[[#This Row],[Role]]="Sponsor",1,0)</f>
        <v>0</v>
      </c>
      <c r="O275">
        <f>IF(Clean_Table[[#This Row],[Role]]="Attendee",1,0)</f>
        <v>1</v>
      </c>
      <c r="P275">
        <f>IF(Clean_Table[[#This Row],[Empty Cell Check]]="Missing",1,0)</f>
        <v>0</v>
      </c>
    </row>
    <row r="276" spans="1:16">
      <c r="A276" t="s">
        <v>48</v>
      </c>
      <c r="B276" t="s">
        <v>512</v>
      </c>
      <c r="C276" t="s">
        <v>55</v>
      </c>
      <c r="D276" t="s">
        <v>810</v>
      </c>
      <c r="E276" s="1" t="s">
        <v>827</v>
      </c>
      <c r="F276" t="s">
        <v>513</v>
      </c>
      <c r="G276" t="s">
        <v>15</v>
      </c>
      <c r="H276" t="s">
        <v>39</v>
      </c>
      <c r="I27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7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Clarkjamie.clark572@example.comBrazil04:30 AM3AVegetarianAttendee</v>
      </c>
      <c r="K276" t="str">
        <f>IF(COUNTIF(Clean_Table[Temp ID],Clean_Table[[#This Row],[Temp ID]])&gt;1,"Duplicate","Unique")</f>
        <v>Unique</v>
      </c>
      <c r="L276">
        <f>IF(Clean_Table[[#This Row],[Role]]="VIP",1,0)</f>
        <v>0</v>
      </c>
      <c r="M276">
        <f>IF(Clean_Table[[#This Row],[Role]]="Speaker",1,0)</f>
        <v>0</v>
      </c>
      <c r="N276">
        <f>IF(Clean_Table[[#This Row],[Role]]="Sponsor",1,0)</f>
        <v>0</v>
      </c>
      <c r="O276">
        <f>IF(Clean_Table[[#This Row],[Role]]="Attendee",1,0)</f>
        <v>1</v>
      </c>
      <c r="P276">
        <f>IF(Clean_Table[[#This Row],[Empty Cell Check]]="Missing",1,0)</f>
        <v>1</v>
      </c>
    </row>
    <row r="277" spans="1:16">
      <c r="A277" t="s">
        <v>419</v>
      </c>
      <c r="B277" t="s">
        <v>514</v>
      </c>
      <c r="C277" t="s">
        <v>34</v>
      </c>
      <c r="D277" t="s">
        <v>71</v>
      </c>
      <c r="E277" s="2" t="s">
        <v>822</v>
      </c>
      <c r="F277" t="s">
        <v>513</v>
      </c>
      <c r="G277" t="s">
        <v>15</v>
      </c>
      <c r="H277" t="s">
        <v>39</v>
      </c>
      <c r="I27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7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Alex Allenalex.allen492@example.comGermanyWebinar: AI Ethics04:00 AM3AVegetarianAttendee</v>
      </c>
      <c r="K277" t="str">
        <f>IF(COUNTIF(Clean_Table[Temp ID],Clean_Table[[#This Row],[Temp ID]])&gt;1,"Duplicate","Unique")</f>
        <v>Unique</v>
      </c>
      <c r="L277">
        <f>IF(Clean_Table[[#This Row],[Role]]="VIP",1,0)</f>
        <v>0</v>
      </c>
      <c r="M277">
        <f>IF(Clean_Table[[#This Row],[Role]]="Speaker",1,0)</f>
        <v>0</v>
      </c>
      <c r="N277">
        <f>IF(Clean_Table[[#This Row],[Role]]="Sponsor",1,0)</f>
        <v>0</v>
      </c>
      <c r="O277">
        <f>IF(Clean_Table[[#This Row],[Role]]="Attendee",1,0)</f>
        <v>1</v>
      </c>
      <c r="P277">
        <f>IF(Clean_Table[[#This Row],[Empty Cell Check]]="Missing",1,0)</f>
        <v>0</v>
      </c>
    </row>
    <row r="278" spans="1:16">
      <c r="A278" t="s">
        <v>29</v>
      </c>
      <c r="B278" t="s">
        <v>515</v>
      </c>
      <c r="C278" t="s">
        <v>96</v>
      </c>
      <c r="D278" t="s">
        <v>810</v>
      </c>
      <c r="E278" s="1" t="s">
        <v>845</v>
      </c>
      <c r="F278" t="s">
        <v>513</v>
      </c>
      <c r="G278" t="s">
        <v>91</v>
      </c>
      <c r="H278" t="s">
        <v>39</v>
      </c>
      <c r="I27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7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Chris Hallchris.hall501@example.comUnited Kingdom02:30 AM3AHalalAttendee</v>
      </c>
      <c r="K278" t="str">
        <f>IF(COUNTIF(Clean_Table[Temp ID],Clean_Table[[#This Row],[Temp ID]])&gt;1,"Duplicate","Unique")</f>
        <v>Unique</v>
      </c>
      <c r="L278">
        <f>IF(Clean_Table[[#This Row],[Role]]="VIP",1,0)</f>
        <v>0</v>
      </c>
      <c r="M278">
        <f>IF(Clean_Table[[#This Row],[Role]]="Speaker",1,0)</f>
        <v>0</v>
      </c>
      <c r="N278">
        <f>IF(Clean_Table[[#This Row],[Role]]="Sponsor",1,0)</f>
        <v>0</v>
      </c>
      <c r="O278">
        <f>IF(Clean_Table[[#This Row],[Role]]="Attendee",1,0)</f>
        <v>1</v>
      </c>
      <c r="P278">
        <f>IF(Clean_Table[[#This Row],[Empty Cell Check]]="Missing",1,0)</f>
        <v>1</v>
      </c>
    </row>
    <row r="279" spans="1:16">
      <c r="A279" t="s">
        <v>108</v>
      </c>
      <c r="B279" t="s">
        <v>516</v>
      </c>
      <c r="C279" t="s">
        <v>34</v>
      </c>
      <c r="D279" t="s">
        <v>79</v>
      </c>
      <c r="E279" s="2" t="s">
        <v>826</v>
      </c>
      <c r="F279" t="s">
        <v>517</v>
      </c>
      <c r="G279" t="s">
        <v>810</v>
      </c>
      <c r="H279" t="s">
        <v>39</v>
      </c>
      <c r="I27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7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Wilsonjamie.wilson931@example.comGermanyPanel: Women in Tech02:00 PM3BAttendee</v>
      </c>
      <c r="K279" t="str">
        <f>IF(COUNTIF(Clean_Table[Temp ID],Clean_Table[[#This Row],[Temp ID]])&gt;1,"Duplicate","Unique")</f>
        <v>Unique</v>
      </c>
      <c r="L279">
        <f>IF(Clean_Table[[#This Row],[Role]]="VIP",1,0)</f>
        <v>0</v>
      </c>
      <c r="M279">
        <f>IF(Clean_Table[[#This Row],[Role]]="Speaker",1,0)</f>
        <v>0</v>
      </c>
      <c r="N279">
        <f>IF(Clean_Table[[#This Row],[Role]]="Sponsor",1,0)</f>
        <v>0</v>
      </c>
      <c r="O279">
        <f>IF(Clean_Table[[#This Row],[Role]]="Attendee",1,0)</f>
        <v>1</v>
      </c>
      <c r="P279">
        <f>IF(Clean_Table[[#This Row],[Empty Cell Check]]="Missing",1,0)</f>
        <v>1</v>
      </c>
    </row>
    <row r="280" spans="1:16">
      <c r="A280" t="s">
        <v>133</v>
      </c>
      <c r="B280" t="s">
        <v>518</v>
      </c>
      <c r="C280" t="s">
        <v>27</v>
      </c>
      <c r="D280" t="s">
        <v>50</v>
      </c>
      <c r="E280" s="2" t="s">
        <v>830</v>
      </c>
      <c r="F280" t="s">
        <v>517</v>
      </c>
      <c r="G280" t="s">
        <v>31</v>
      </c>
      <c r="H280" t="s">
        <v>39</v>
      </c>
      <c r="I28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8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Walkerriley.walker216@example.comFranceWorkshop: Excel Mastery12:00 AM3BNoneAttendee</v>
      </c>
      <c r="K280" t="str">
        <f>IF(COUNTIF(Clean_Table[Temp ID],Clean_Table[[#This Row],[Temp ID]])&gt;1,"Duplicate","Unique")</f>
        <v>Unique</v>
      </c>
      <c r="L280">
        <f>IF(Clean_Table[[#This Row],[Role]]="VIP",1,0)</f>
        <v>0</v>
      </c>
      <c r="M280">
        <f>IF(Clean_Table[[#This Row],[Role]]="Speaker",1,0)</f>
        <v>0</v>
      </c>
      <c r="N280">
        <f>IF(Clean_Table[[#This Row],[Role]]="Sponsor",1,0)</f>
        <v>0</v>
      </c>
      <c r="O280">
        <f>IF(Clean_Table[[#This Row],[Role]]="Attendee",1,0)</f>
        <v>1</v>
      </c>
      <c r="P280">
        <f>IF(Clean_Table[[#This Row],[Empty Cell Check]]="Missing",1,0)</f>
        <v>0</v>
      </c>
    </row>
    <row r="281" spans="1:16">
      <c r="A281" t="s">
        <v>265</v>
      </c>
      <c r="B281" t="s">
        <v>519</v>
      </c>
      <c r="C281" t="s">
        <v>55</v>
      </c>
      <c r="D281" t="s">
        <v>13</v>
      </c>
      <c r="E281" s="2" t="s">
        <v>826</v>
      </c>
      <c r="F281" t="s">
        <v>520</v>
      </c>
      <c r="G281" t="s">
        <v>52</v>
      </c>
      <c r="H281" t="s">
        <v>39</v>
      </c>
      <c r="I28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8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Alex Wilsonalex.wilson531@example.comBrazilTraining: Dashboard Design02:00 PM3CVeganAttendee</v>
      </c>
      <c r="K281" t="str">
        <f>IF(COUNTIF(Clean_Table[Temp ID],Clean_Table[[#This Row],[Temp ID]])&gt;1,"Duplicate","Unique")</f>
        <v>Unique</v>
      </c>
      <c r="L281">
        <f>IF(Clean_Table[[#This Row],[Role]]="VIP",1,0)</f>
        <v>0</v>
      </c>
      <c r="M281">
        <f>IF(Clean_Table[[#This Row],[Role]]="Speaker",1,0)</f>
        <v>0</v>
      </c>
      <c r="N281">
        <f>IF(Clean_Table[[#This Row],[Role]]="Sponsor",1,0)</f>
        <v>0</v>
      </c>
      <c r="O281">
        <f>IF(Clean_Table[[#This Row],[Role]]="Attendee",1,0)</f>
        <v>1</v>
      </c>
      <c r="P281">
        <f>IF(Clean_Table[[#This Row],[Empty Cell Check]]="Missing",1,0)</f>
        <v>0</v>
      </c>
    </row>
    <row r="282" spans="1:16">
      <c r="A282" t="s">
        <v>108</v>
      </c>
      <c r="B282" t="s">
        <v>521</v>
      </c>
      <c r="C282" t="s">
        <v>68</v>
      </c>
      <c r="D282" t="s">
        <v>71</v>
      </c>
      <c r="E282" s="2" t="s">
        <v>817</v>
      </c>
      <c r="F282" t="s">
        <v>520</v>
      </c>
      <c r="G282" t="s">
        <v>810</v>
      </c>
      <c r="H282" t="s">
        <v>39</v>
      </c>
      <c r="I28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8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Wilsonjamie.wilson715@example.comIndiaWebinar: AI Ethics07:30 AM3CAttendee</v>
      </c>
      <c r="K282" t="str">
        <f>IF(COUNTIF(Clean_Table[Temp ID],Clean_Table[[#This Row],[Temp ID]])&gt;1,"Duplicate","Unique")</f>
        <v>Unique</v>
      </c>
      <c r="L282">
        <f>IF(Clean_Table[[#This Row],[Role]]="VIP",1,0)</f>
        <v>0</v>
      </c>
      <c r="M282">
        <f>IF(Clean_Table[[#This Row],[Role]]="Speaker",1,0)</f>
        <v>0</v>
      </c>
      <c r="N282">
        <f>IF(Clean_Table[[#This Row],[Role]]="Sponsor",1,0)</f>
        <v>0</v>
      </c>
      <c r="O282">
        <f>IF(Clean_Table[[#This Row],[Role]]="Attendee",1,0)</f>
        <v>1</v>
      </c>
      <c r="P282">
        <f>IF(Clean_Table[[#This Row],[Empty Cell Check]]="Missing",1,0)</f>
        <v>1</v>
      </c>
    </row>
    <row r="283" spans="1:16">
      <c r="A283" t="s">
        <v>46</v>
      </c>
      <c r="B283" t="s">
        <v>522</v>
      </c>
      <c r="C283" t="s">
        <v>37</v>
      </c>
      <c r="D283" t="s">
        <v>810</v>
      </c>
      <c r="E283" s="2" t="s">
        <v>822</v>
      </c>
      <c r="F283" t="s">
        <v>520</v>
      </c>
      <c r="G283" t="s">
        <v>810</v>
      </c>
      <c r="H283" t="s">
        <v>39</v>
      </c>
      <c r="I28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8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Alex Clarkalex.clark954@example.comCanada04:00 AM3CAttendee</v>
      </c>
      <c r="K283" t="str">
        <f>IF(COUNTIF(Clean_Table[Temp ID],Clean_Table[[#This Row],[Temp ID]])&gt;1,"Duplicate","Unique")</f>
        <v>Unique</v>
      </c>
      <c r="L283">
        <f>IF(Clean_Table[[#This Row],[Role]]="VIP",1,0)</f>
        <v>0</v>
      </c>
      <c r="M283">
        <f>IF(Clean_Table[[#This Row],[Role]]="Speaker",1,0)</f>
        <v>0</v>
      </c>
      <c r="N283">
        <f>IF(Clean_Table[[#This Row],[Role]]="Sponsor",1,0)</f>
        <v>0</v>
      </c>
      <c r="O283">
        <f>IF(Clean_Table[[#This Row],[Role]]="Attendee",1,0)</f>
        <v>1</v>
      </c>
      <c r="P283">
        <f>IF(Clean_Table[[#This Row],[Empty Cell Check]]="Missing",1,0)</f>
        <v>1</v>
      </c>
    </row>
    <row r="284" spans="1:16">
      <c r="A284" t="s">
        <v>99</v>
      </c>
      <c r="B284" t="s">
        <v>523</v>
      </c>
      <c r="C284" t="s">
        <v>55</v>
      </c>
      <c r="D284" t="s">
        <v>13</v>
      </c>
      <c r="E284" s="2" t="s">
        <v>823</v>
      </c>
      <c r="F284" t="s">
        <v>520</v>
      </c>
      <c r="G284" t="s">
        <v>28</v>
      </c>
      <c r="H284" t="s">
        <v>39</v>
      </c>
      <c r="I28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8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Drew Lewisdrew.lewis190@example.comBrazilTraining: Dashboard Design05:30 AM3CKosherAttendee</v>
      </c>
      <c r="K284" t="str">
        <f>IF(COUNTIF(Clean_Table[Temp ID],Clean_Table[[#This Row],[Temp ID]])&gt;1,"Duplicate","Unique")</f>
        <v>Unique</v>
      </c>
      <c r="L284">
        <f>IF(Clean_Table[[#This Row],[Role]]="VIP",1,0)</f>
        <v>0</v>
      </c>
      <c r="M284">
        <f>IF(Clean_Table[[#This Row],[Role]]="Speaker",1,0)</f>
        <v>0</v>
      </c>
      <c r="N284">
        <f>IF(Clean_Table[[#This Row],[Role]]="Sponsor",1,0)</f>
        <v>0</v>
      </c>
      <c r="O284">
        <f>IF(Clean_Table[[#This Row],[Role]]="Attendee",1,0)</f>
        <v>1</v>
      </c>
      <c r="P284">
        <f>IF(Clean_Table[[#This Row],[Empty Cell Check]]="Missing",1,0)</f>
        <v>0</v>
      </c>
    </row>
    <row r="285" spans="1:16">
      <c r="A285" t="s">
        <v>330</v>
      </c>
      <c r="B285" t="s">
        <v>524</v>
      </c>
      <c r="C285" t="s">
        <v>68</v>
      </c>
      <c r="D285" t="s">
        <v>13</v>
      </c>
      <c r="E285" s="1" t="s">
        <v>832</v>
      </c>
      <c r="F285" t="s">
        <v>525</v>
      </c>
      <c r="G285" t="s">
        <v>91</v>
      </c>
      <c r="H285" t="s">
        <v>39</v>
      </c>
      <c r="I28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8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Alex Walkeralex.walker560@example.comIndiaTraining: Dashboard Design12:00 PM3DHalalAttendee</v>
      </c>
      <c r="K285" t="str">
        <f>IF(COUNTIF(Clean_Table[Temp ID],Clean_Table[[#This Row],[Temp ID]])&gt;1,"Duplicate","Unique")</f>
        <v>Unique</v>
      </c>
      <c r="L285">
        <f>IF(Clean_Table[[#This Row],[Role]]="VIP",1,0)</f>
        <v>0</v>
      </c>
      <c r="M285">
        <f>IF(Clean_Table[[#This Row],[Role]]="Speaker",1,0)</f>
        <v>0</v>
      </c>
      <c r="N285">
        <f>IF(Clean_Table[[#This Row],[Role]]="Sponsor",1,0)</f>
        <v>0</v>
      </c>
      <c r="O285">
        <f>IF(Clean_Table[[#This Row],[Role]]="Attendee",1,0)</f>
        <v>1</v>
      </c>
      <c r="P285">
        <f>IF(Clean_Table[[#This Row],[Empty Cell Check]]="Missing",1,0)</f>
        <v>0</v>
      </c>
    </row>
    <row r="286" spans="1:16">
      <c r="A286" t="s">
        <v>234</v>
      </c>
      <c r="B286" t="s">
        <v>526</v>
      </c>
      <c r="C286" t="s">
        <v>78</v>
      </c>
      <c r="D286" t="s">
        <v>45</v>
      </c>
      <c r="E286" s="2" t="s">
        <v>860</v>
      </c>
      <c r="F286" t="s">
        <v>525</v>
      </c>
      <c r="G286" t="s">
        <v>31</v>
      </c>
      <c r="H286" t="s">
        <v>21</v>
      </c>
      <c r="I28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8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Brownjamie.brown95@example.comAustraliaKeynote: Future of Data11:30 AM3DNoneSpeaker</v>
      </c>
      <c r="K286" t="str">
        <f>IF(COUNTIF(Clean_Table[Temp ID],Clean_Table[[#This Row],[Temp ID]])&gt;1,"Duplicate","Unique")</f>
        <v>Unique</v>
      </c>
      <c r="L286">
        <f>IF(Clean_Table[[#This Row],[Role]]="VIP",1,0)</f>
        <v>0</v>
      </c>
      <c r="M286">
        <f>IF(Clean_Table[[#This Row],[Role]]="Speaker",1,0)</f>
        <v>1</v>
      </c>
      <c r="N286">
        <f>IF(Clean_Table[[#This Row],[Role]]="Sponsor",1,0)</f>
        <v>0</v>
      </c>
      <c r="O286">
        <f>IF(Clean_Table[[#This Row],[Role]]="Attendee",1,0)</f>
        <v>0</v>
      </c>
      <c r="P286">
        <f>IF(Clean_Table[[#This Row],[Empty Cell Check]]="Missing",1,0)</f>
        <v>0</v>
      </c>
    </row>
    <row r="287" spans="1:16">
      <c r="A287" t="s">
        <v>265</v>
      </c>
      <c r="B287" t="s">
        <v>527</v>
      </c>
      <c r="C287" t="s">
        <v>112</v>
      </c>
      <c r="D287" t="s">
        <v>79</v>
      </c>
      <c r="E287" s="2" t="s">
        <v>822</v>
      </c>
      <c r="F287" t="s">
        <v>525</v>
      </c>
      <c r="G287" t="s">
        <v>15</v>
      </c>
      <c r="H287" t="s">
        <v>39</v>
      </c>
      <c r="I28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8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Alex Wilsonalex.wilson48@example.comNigeriaPanel: Women in Tech04:00 AM3DVegetarianAttendee</v>
      </c>
      <c r="K287" t="str">
        <f>IF(COUNTIF(Clean_Table[Temp ID],Clean_Table[[#This Row],[Temp ID]])&gt;1,"Duplicate","Unique")</f>
        <v>Unique</v>
      </c>
      <c r="L287">
        <f>IF(Clean_Table[[#This Row],[Role]]="VIP",1,0)</f>
        <v>0</v>
      </c>
      <c r="M287">
        <f>IF(Clean_Table[[#This Row],[Role]]="Speaker",1,0)</f>
        <v>0</v>
      </c>
      <c r="N287">
        <f>IF(Clean_Table[[#This Row],[Role]]="Sponsor",1,0)</f>
        <v>0</v>
      </c>
      <c r="O287">
        <f>IF(Clean_Table[[#This Row],[Role]]="Attendee",1,0)</f>
        <v>1</v>
      </c>
      <c r="P287">
        <f>IF(Clean_Table[[#This Row],[Empty Cell Check]]="Missing",1,0)</f>
        <v>0</v>
      </c>
    </row>
    <row r="288" spans="1:16">
      <c r="A288" t="s">
        <v>313</v>
      </c>
      <c r="B288" t="s">
        <v>528</v>
      </c>
      <c r="C288" t="s">
        <v>101</v>
      </c>
      <c r="D288" t="s">
        <v>79</v>
      </c>
      <c r="E288" s="1" t="s">
        <v>833</v>
      </c>
      <c r="F288" t="s">
        <v>529</v>
      </c>
      <c r="G288" t="s">
        <v>91</v>
      </c>
      <c r="H288" t="s">
        <v>39</v>
      </c>
      <c r="I28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8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Browncasey.brown679@example.comJapanPanel: Women in Tech07:00 AM40AHalalAttendee</v>
      </c>
      <c r="K288" t="str">
        <f>IF(COUNTIF(Clean_Table[Temp ID],Clean_Table[[#This Row],[Temp ID]])&gt;1,"Duplicate","Unique")</f>
        <v>Unique</v>
      </c>
      <c r="L288">
        <f>IF(Clean_Table[[#This Row],[Role]]="VIP",1,0)</f>
        <v>0</v>
      </c>
      <c r="M288">
        <f>IF(Clean_Table[[#This Row],[Role]]="Speaker",1,0)</f>
        <v>0</v>
      </c>
      <c r="N288">
        <f>IF(Clean_Table[[#This Row],[Role]]="Sponsor",1,0)</f>
        <v>0</v>
      </c>
      <c r="O288">
        <f>IF(Clean_Table[[#This Row],[Role]]="Attendee",1,0)</f>
        <v>1</v>
      </c>
      <c r="P288">
        <f>IF(Clean_Table[[#This Row],[Empty Cell Check]]="Missing",1,0)</f>
        <v>0</v>
      </c>
    </row>
    <row r="289" spans="1:16">
      <c r="A289" t="s">
        <v>99</v>
      </c>
      <c r="B289" t="s">
        <v>530</v>
      </c>
      <c r="C289" t="s">
        <v>112</v>
      </c>
      <c r="D289" t="s">
        <v>79</v>
      </c>
      <c r="E289" s="2" t="s">
        <v>839</v>
      </c>
      <c r="F289" t="s">
        <v>529</v>
      </c>
      <c r="G289" t="s">
        <v>810</v>
      </c>
      <c r="H289" t="s">
        <v>39</v>
      </c>
      <c r="I28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8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Drew Lewisdrew.lewis462@example.comNigeriaPanel: Women in Tech09:00 AM40AAttendee</v>
      </c>
      <c r="K289" t="str">
        <f>IF(COUNTIF(Clean_Table[Temp ID],Clean_Table[[#This Row],[Temp ID]])&gt;1,"Duplicate","Unique")</f>
        <v>Unique</v>
      </c>
      <c r="L289">
        <f>IF(Clean_Table[[#This Row],[Role]]="VIP",1,0)</f>
        <v>0</v>
      </c>
      <c r="M289">
        <f>IF(Clean_Table[[#This Row],[Role]]="Speaker",1,0)</f>
        <v>0</v>
      </c>
      <c r="N289">
        <f>IF(Clean_Table[[#This Row],[Role]]="Sponsor",1,0)</f>
        <v>0</v>
      </c>
      <c r="O289">
        <f>IF(Clean_Table[[#This Row],[Role]]="Attendee",1,0)</f>
        <v>1</v>
      </c>
      <c r="P289">
        <f>IF(Clean_Table[[#This Row],[Empty Cell Check]]="Missing",1,0)</f>
        <v>1</v>
      </c>
    </row>
    <row r="290" spans="1:16">
      <c r="A290" t="s">
        <v>207</v>
      </c>
      <c r="B290" t="s">
        <v>531</v>
      </c>
      <c r="C290" t="s">
        <v>68</v>
      </c>
      <c r="D290" t="s">
        <v>50</v>
      </c>
      <c r="E290" s="1" t="s">
        <v>819</v>
      </c>
      <c r="F290" t="s">
        <v>529</v>
      </c>
      <c r="G290" t="s">
        <v>28</v>
      </c>
      <c r="H290" t="s">
        <v>39</v>
      </c>
      <c r="I29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9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Chris Wilsonchris.wilson826@example.comIndiaWorkshop: Excel Mastery01:00 AM40AKosherAttendee</v>
      </c>
      <c r="K290" t="str">
        <f>IF(COUNTIF(Clean_Table[Temp ID],Clean_Table[[#This Row],[Temp ID]])&gt;1,"Duplicate","Unique")</f>
        <v>Unique</v>
      </c>
      <c r="L290">
        <f>IF(Clean_Table[[#This Row],[Role]]="VIP",1,0)</f>
        <v>0</v>
      </c>
      <c r="M290">
        <f>IF(Clean_Table[[#This Row],[Role]]="Speaker",1,0)</f>
        <v>0</v>
      </c>
      <c r="N290">
        <f>IF(Clean_Table[[#This Row],[Role]]="Sponsor",1,0)</f>
        <v>0</v>
      </c>
      <c r="O290">
        <f>IF(Clean_Table[[#This Row],[Role]]="Attendee",1,0)</f>
        <v>1</v>
      </c>
      <c r="P290">
        <f>IF(Clean_Table[[#This Row],[Empty Cell Check]]="Missing",1,0)</f>
        <v>0</v>
      </c>
    </row>
    <row r="291" spans="1:16">
      <c r="A291" t="s">
        <v>393</v>
      </c>
      <c r="B291" t="s">
        <v>532</v>
      </c>
      <c r="C291" t="s">
        <v>810</v>
      </c>
      <c r="D291" t="s">
        <v>45</v>
      </c>
      <c r="E291" s="1" t="s">
        <v>828</v>
      </c>
      <c r="F291" t="s">
        <v>529</v>
      </c>
      <c r="G291" t="s">
        <v>31</v>
      </c>
      <c r="H291" t="s">
        <v>39</v>
      </c>
      <c r="I29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9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Halljamie.hall609@example.comKeynote: Future of Data04:30 PM40ANoneAttendee</v>
      </c>
      <c r="K291" t="str">
        <f>IF(COUNTIF(Clean_Table[Temp ID],Clean_Table[[#This Row],[Temp ID]])&gt;1,"Duplicate","Unique")</f>
        <v>Unique</v>
      </c>
      <c r="L291">
        <f>IF(Clean_Table[[#This Row],[Role]]="VIP",1,0)</f>
        <v>0</v>
      </c>
      <c r="M291">
        <f>IF(Clean_Table[[#This Row],[Role]]="Speaker",1,0)</f>
        <v>0</v>
      </c>
      <c r="N291">
        <f>IF(Clean_Table[[#This Row],[Role]]="Sponsor",1,0)</f>
        <v>0</v>
      </c>
      <c r="O291">
        <f>IF(Clean_Table[[#This Row],[Role]]="Attendee",1,0)</f>
        <v>1</v>
      </c>
      <c r="P291">
        <f>IF(Clean_Table[[#This Row],[Empty Cell Check]]="Missing",1,0)</f>
        <v>1</v>
      </c>
    </row>
    <row r="292" spans="1:16">
      <c r="A292" t="s">
        <v>255</v>
      </c>
      <c r="B292" t="s">
        <v>533</v>
      </c>
      <c r="C292" t="s">
        <v>810</v>
      </c>
      <c r="D292" t="s">
        <v>810</v>
      </c>
      <c r="E292" s="2" t="s">
        <v>818</v>
      </c>
      <c r="F292" t="s">
        <v>534</v>
      </c>
      <c r="G292" t="s">
        <v>15</v>
      </c>
      <c r="H292" t="s">
        <v>39</v>
      </c>
      <c r="I29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9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Walkertaylor.walker144@example.com03:30 AM40BVegetarianAttendee</v>
      </c>
      <c r="K292" t="str">
        <f>IF(COUNTIF(Clean_Table[Temp ID],Clean_Table[[#This Row],[Temp ID]])&gt;1,"Duplicate","Unique")</f>
        <v>Unique</v>
      </c>
      <c r="L292">
        <f>IF(Clean_Table[[#This Row],[Role]]="VIP",1,0)</f>
        <v>0</v>
      </c>
      <c r="M292">
        <f>IF(Clean_Table[[#This Row],[Role]]="Speaker",1,0)</f>
        <v>0</v>
      </c>
      <c r="N292">
        <f>IF(Clean_Table[[#This Row],[Role]]="Sponsor",1,0)</f>
        <v>0</v>
      </c>
      <c r="O292">
        <f>IF(Clean_Table[[#This Row],[Role]]="Attendee",1,0)</f>
        <v>1</v>
      </c>
      <c r="P292">
        <f>IF(Clean_Table[[#This Row],[Empty Cell Check]]="Missing",1,0)</f>
        <v>1</v>
      </c>
    </row>
    <row r="293" spans="1:16">
      <c r="A293" t="s">
        <v>180</v>
      </c>
      <c r="B293" t="s">
        <v>535</v>
      </c>
      <c r="C293" t="s">
        <v>96</v>
      </c>
      <c r="D293" t="s">
        <v>45</v>
      </c>
      <c r="E293" s="1" t="s">
        <v>845</v>
      </c>
      <c r="F293" t="s">
        <v>534</v>
      </c>
      <c r="G293" t="s">
        <v>810</v>
      </c>
      <c r="H293" t="s">
        <v>39</v>
      </c>
      <c r="I29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9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Allentaylor.allen972@example.comUnited KingdomKeynote: Future of Data02:30 AM40BAttendee</v>
      </c>
      <c r="K293" t="str">
        <f>IF(COUNTIF(Clean_Table[Temp ID],Clean_Table[[#This Row],[Temp ID]])&gt;1,"Duplicate","Unique")</f>
        <v>Unique</v>
      </c>
      <c r="L293">
        <f>IF(Clean_Table[[#This Row],[Role]]="VIP",1,0)</f>
        <v>0</v>
      </c>
      <c r="M293">
        <f>IF(Clean_Table[[#This Row],[Role]]="Speaker",1,0)</f>
        <v>0</v>
      </c>
      <c r="N293">
        <f>IF(Clean_Table[[#This Row],[Role]]="Sponsor",1,0)</f>
        <v>0</v>
      </c>
      <c r="O293">
        <f>IF(Clean_Table[[#This Row],[Role]]="Attendee",1,0)</f>
        <v>1</v>
      </c>
      <c r="P293">
        <f>IF(Clean_Table[[#This Row],[Empty Cell Check]]="Missing",1,0)</f>
        <v>1</v>
      </c>
    </row>
    <row r="294" spans="1:16">
      <c r="A294" t="s">
        <v>536</v>
      </c>
      <c r="B294" t="s">
        <v>537</v>
      </c>
      <c r="C294" t="s">
        <v>101</v>
      </c>
      <c r="D294" t="s">
        <v>810</v>
      </c>
      <c r="E294" s="1" t="s">
        <v>860</v>
      </c>
      <c r="F294" t="s">
        <v>534</v>
      </c>
      <c r="G294" t="s">
        <v>31</v>
      </c>
      <c r="H294" t="s">
        <v>39</v>
      </c>
      <c r="I29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9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Chris Brownchris.brown520@example.comJapan11:30 AM40BNoneAttendee</v>
      </c>
      <c r="K294" t="str">
        <f>IF(COUNTIF(Clean_Table[Temp ID],Clean_Table[[#This Row],[Temp ID]])&gt;1,"Duplicate","Unique")</f>
        <v>Unique</v>
      </c>
      <c r="L294">
        <f>IF(Clean_Table[[#This Row],[Role]]="VIP",1,0)</f>
        <v>0</v>
      </c>
      <c r="M294">
        <f>IF(Clean_Table[[#This Row],[Role]]="Speaker",1,0)</f>
        <v>0</v>
      </c>
      <c r="N294">
        <f>IF(Clean_Table[[#This Row],[Role]]="Sponsor",1,0)</f>
        <v>0</v>
      </c>
      <c r="O294">
        <f>IF(Clean_Table[[#This Row],[Role]]="Attendee",1,0)</f>
        <v>1</v>
      </c>
      <c r="P294">
        <f>IF(Clean_Table[[#This Row],[Empty Cell Check]]="Missing",1,0)</f>
        <v>1</v>
      </c>
    </row>
    <row r="295" spans="1:16">
      <c r="A295" t="s">
        <v>250</v>
      </c>
      <c r="B295" t="s">
        <v>538</v>
      </c>
      <c r="C295" t="s">
        <v>12</v>
      </c>
      <c r="D295" t="s">
        <v>50</v>
      </c>
      <c r="E295" s="1" t="s">
        <v>855</v>
      </c>
      <c r="F295" t="s">
        <v>534</v>
      </c>
      <c r="G295" t="s">
        <v>810</v>
      </c>
      <c r="H295" t="s">
        <v>39</v>
      </c>
      <c r="I29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9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Smithriley.smith93@example.comUnited StatesWorkshop: Excel Mastery01:30 PM40BAttendee</v>
      </c>
      <c r="K295" t="str">
        <f>IF(COUNTIF(Clean_Table[Temp ID],Clean_Table[[#This Row],[Temp ID]])&gt;1,"Duplicate","Unique")</f>
        <v>Unique</v>
      </c>
      <c r="L295">
        <f>IF(Clean_Table[[#This Row],[Role]]="VIP",1,0)</f>
        <v>0</v>
      </c>
      <c r="M295">
        <f>IF(Clean_Table[[#This Row],[Role]]="Speaker",1,0)</f>
        <v>0</v>
      </c>
      <c r="N295">
        <f>IF(Clean_Table[[#This Row],[Role]]="Sponsor",1,0)</f>
        <v>0</v>
      </c>
      <c r="O295">
        <f>IF(Clean_Table[[#This Row],[Role]]="Attendee",1,0)</f>
        <v>1</v>
      </c>
      <c r="P295">
        <f>IF(Clean_Table[[#This Row],[Empty Cell Check]]="Missing",1,0)</f>
        <v>1</v>
      </c>
    </row>
    <row r="296" spans="1:16">
      <c r="A296" t="s">
        <v>419</v>
      </c>
      <c r="B296" t="s">
        <v>539</v>
      </c>
      <c r="C296" t="s">
        <v>27</v>
      </c>
      <c r="D296" t="s">
        <v>45</v>
      </c>
      <c r="E296" s="1" t="s">
        <v>837</v>
      </c>
      <c r="F296" t="s">
        <v>534</v>
      </c>
      <c r="G296" t="s">
        <v>810</v>
      </c>
      <c r="H296" t="s">
        <v>39</v>
      </c>
      <c r="I29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9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Alex Allenalex.allen401@example.comFranceKeynote: Future of Data10:30 AM40BAttendee</v>
      </c>
      <c r="K296" t="str">
        <f>IF(COUNTIF(Clean_Table[Temp ID],Clean_Table[[#This Row],[Temp ID]])&gt;1,"Duplicate","Unique")</f>
        <v>Unique</v>
      </c>
      <c r="L296">
        <f>IF(Clean_Table[[#This Row],[Role]]="VIP",1,0)</f>
        <v>0</v>
      </c>
      <c r="M296">
        <f>IF(Clean_Table[[#This Row],[Role]]="Speaker",1,0)</f>
        <v>0</v>
      </c>
      <c r="N296">
        <f>IF(Clean_Table[[#This Row],[Role]]="Sponsor",1,0)</f>
        <v>0</v>
      </c>
      <c r="O296">
        <f>IF(Clean_Table[[#This Row],[Role]]="Attendee",1,0)</f>
        <v>1</v>
      </c>
      <c r="P296">
        <f>IF(Clean_Table[[#This Row],[Empty Cell Check]]="Missing",1,0)</f>
        <v>1</v>
      </c>
    </row>
    <row r="297" spans="1:16">
      <c r="A297" t="s">
        <v>22</v>
      </c>
      <c r="B297" t="s">
        <v>540</v>
      </c>
      <c r="C297" t="s">
        <v>101</v>
      </c>
      <c r="D297" t="s">
        <v>810</v>
      </c>
      <c r="E297" s="2" t="s">
        <v>822</v>
      </c>
      <c r="F297" t="s">
        <v>534</v>
      </c>
      <c r="G297" t="s">
        <v>15</v>
      </c>
      <c r="H297" t="s">
        <v>39</v>
      </c>
      <c r="I29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9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Hallmorgan.hall278@example.comJapan04:00 AM40BVegetarianAttendee</v>
      </c>
      <c r="K297" t="str">
        <f>IF(COUNTIF(Clean_Table[Temp ID],Clean_Table[[#This Row],[Temp ID]])&gt;1,"Duplicate","Unique")</f>
        <v>Unique</v>
      </c>
      <c r="L297">
        <f>IF(Clean_Table[[#This Row],[Role]]="VIP",1,0)</f>
        <v>0</v>
      </c>
      <c r="M297">
        <f>IF(Clean_Table[[#This Row],[Role]]="Speaker",1,0)</f>
        <v>0</v>
      </c>
      <c r="N297">
        <f>IF(Clean_Table[[#This Row],[Role]]="Sponsor",1,0)</f>
        <v>0</v>
      </c>
      <c r="O297">
        <f>IF(Clean_Table[[#This Row],[Role]]="Attendee",1,0)</f>
        <v>1</v>
      </c>
      <c r="P297">
        <f>IF(Clean_Table[[#This Row],[Empty Cell Check]]="Missing",1,0)</f>
        <v>1</v>
      </c>
    </row>
    <row r="298" spans="1:16">
      <c r="A298" t="s">
        <v>257</v>
      </c>
      <c r="B298" t="s">
        <v>541</v>
      </c>
      <c r="C298" t="s">
        <v>112</v>
      </c>
      <c r="D298" t="s">
        <v>50</v>
      </c>
      <c r="E298" s="1" t="s">
        <v>831</v>
      </c>
      <c r="F298" t="s">
        <v>542</v>
      </c>
      <c r="G298" t="s">
        <v>31</v>
      </c>
      <c r="H298" t="s">
        <v>39</v>
      </c>
      <c r="I29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29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Walkerjamie.walker532@example.comNigeriaWorkshop: Excel Mastery06:30 PM40CNoneAttendee</v>
      </c>
      <c r="K298" t="str">
        <f>IF(COUNTIF(Clean_Table[Temp ID],Clean_Table[[#This Row],[Temp ID]])&gt;1,"Duplicate","Unique")</f>
        <v>Unique</v>
      </c>
      <c r="L298">
        <f>IF(Clean_Table[[#This Row],[Role]]="VIP",1,0)</f>
        <v>0</v>
      </c>
      <c r="M298">
        <f>IF(Clean_Table[[#This Row],[Role]]="Speaker",1,0)</f>
        <v>0</v>
      </c>
      <c r="N298">
        <f>IF(Clean_Table[[#This Row],[Role]]="Sponsor",1,0)</f>
        <v>0</v>
      </c>
      <c r="O298">
        <f>IF(Clean_Table[[#This Row],[Role]]="Attendee",1,0)</f>
        <v>1</v>
      </c>
      <c r="P298">
        <f>IF(Clean_Table[[#This Row],[Empty Cell Check]]="Missing",1,0)</f>
        <v>0</v>
      </c>
    </row>
    <row r="299" spans="1:16">
      <c r="A299" t="s">
        <v>173</v>
      </c>
      <c r="B299" t="s">
        <v>543</v>
      </c>
      <c r="C299" t="s">
        <v>810</v>
      </c>
      <c r="D299" t="s">
        <v>79</v>
      </c>
      <c r="E299" s="1" t="s">
        <v>814</v>
      </c>
      <c r="F299" t="s">
        <v>542</v>
      </c>
      <c r="G299" t="s">
        <v>31</v>
      </c>
      <c r="H299" t="s">
        <v>39</v>
      </c>
      <c r="I29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29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Chris Allenchris.allen391@example.comPanel: Women in Tech11:00 PM40CNoneAttendee</v>
      </c>
      <c r="K299" t="str">
        <f>IF(COUNTIF(Clean_Table[Temp ID],Clean_Table[[#This Row],[Temp ID]])&gt;1,"Duplicate","Unique")</f>
        <v>Unique</v>
      </c>
      <c r="L299">
        <f>IF(Clean_Table[[#This Row],[Role]]="VIP",1,0)</f>
        <v>0</v>
      </c>
      <c r="M299">
        <f>IF(Clean_Table[[#This Row],[Role]]="Speaker",1,0)</f>
        <v>0</v>
      </c>
      <c r="N299">
        <f>IF(Clean_Table[[#This Row],[Role]]="Sponsor",1,0)</f>
        <v>0</v>
      </c>
      <c r="O299">
        <f>IF(Clean_Table[[#This Row],[Role]]="Attendee",1,0)</f>
        <v>1</v>
      </c>
      <c r="P299">
        <f>IF(Clean_Table[[#This Row],[Empty Cell Check]]="Missing",1,0)</f>
        <v>1</v>
      </c>
    </row>
    <row r="300" spans="1:16">
      <c r="A300" t="s">
        <v>173</v>
      </c>
      <c r="B300" t="s">
        <v>544</v>
      </c>
      <c r="C300" t="s">
        <v>37</v>
      </c>
      <c r="D300" t="s">
        <v>71</v>
      </c>
      <c r="E300" s="1" t="s">
        <v>829</v>
      </c>
      <c r="F300" t="s">
        <v>542</v>
      </c>
      <c r="G300" t="s">
        <v>810</v>
      </c>
      <c r="H300" t="s">
        <v>39</v>
      </c>
      <c r="I30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0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Chris Allenchris.allen547@example.comCanadaWebinar: AI Ethics10:00 PM40CAttendee</v>
      </c>
      <c r="K300" t="str">
        <f>IF(COUNTIF(Clean_Table[Temp ID],Clean_Table[[#This Row],[Temp ID]])&gt;1,"Duplicate","Unique")</f>
        <v>Unique</v>
      </c>
      <c r="L300">
        <f>IF(Clean_Table[[#This Row],[Role]]="VIP",1,0)</f>
        <v>0</v>
      </c>
      <c r="M300">
        <f>IF(Clean_Table[[#This Row],[Role]]="Speaker",1,0)</f>
        <v>0</v>
      </c>
      <c r="N300">
        <f>IF(Clean_Table[[#This Row],[Role]]="Sponsor",1,0)</f>
        <v>0</v>
      </c>
      <c r="O300">
        <f>IF(Clean_Table[[#This Row],[Role]]="Attendee",1,0)</f>
        <v>1</v>
      </c>
      <c r="P300">
        <f>IF(Clean_Table[[#This Row],[Empty Cell Check]]="Missing",1,0)</f>
        <v>1</v>
      </c>
    </row>
    <row r="301" spans="1:16">
      <c r="A301" t="s">
        <v>40</v>
      </c>
      <c r="B301" t="s">
        <v>545</v>
      </c>
      <c r="C301" t="s">
        <v>810</v>
      </c>
      <c r="D301" t="s">
        <v>50</v>
      </c>
      <c r="E301" s="2" t="s">
        <v>816</v>
      </c>
      <c r="F301" t="s">
        <v>542</v>
      </c>
      <c r="G301" t="s">
        <v>15</v>
      </c>
      <c r="H301" t="s">
        <v>39</v>
      </c>
      <c r="I30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0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Drew Allendrew.allen248@example.comWorkshop: Excel Mastery01:00 PM40CVegetarianAttendee</v>
      </c>
      <c r="K301" t="str">
        <f>IF(COUNTIF(Clean_Table[Temp ID],Clean_Table[[#This Row],[Temp ID]])&gt;1,"Duplicate","Unique")</f>
        <v>Unique</v>
      </c>
      <c r="L301">
        <f>IF(Clean_Table[[#This Row],[Role]]="VIP",1,0)</f>
        <v>0</v>
      </c>
      <c r="M301">
        <f>IF(Clean_Table[[#This Row],[Role]]="Speaker",1,0)</f>
        <v>0</v>
      </c>
      <c r="N301">
        <f>IF(Clean_Table[[#This Row],[Role]]="Sponsor",1,0)</f>
        <v>0</v>
      </c>
      <c r="O301">
        <f>IF(Clean_Table[[#This Row],[Role]]="Attendee",1,0)</f>
        <v>1</v>
      </c>
      <c r="P301">
        <f>IF(Clean_Table[[#This Row],[Empty Cell Check]]="Missing",1,0)</f>
        <v>1</v>
      </c>
    </row>
    <row r="302" spans="1:16">
      <c r="A302" t="s">
        <v>29</v>
      </c>
      <c r="B302" t="s">
        <v>546</v>
      </c>
      <c r="C302" t="s">
        <v>68</v>
      </c>
      <c r="D302" t="s">
        <v>13</v>
      </c>
      <c r="E302" s="2" t="s">
        <v>857</v>
      </c>
      <c r="F302" t="s">
        <v>542</v>
      </c>
      <c r="G302" t="s">
        <v>28</v>
      </c>
      <c r="H302" t="s">
        <v>39</v>
      </c>
      <c r="I30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30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Chris Hallchris.hall131@example.comIndiaTraining: Dashboard Design09:00 PM40CKosherAttendee</v>
      </c>
      <c r="K302" t="str">
        <f>IF(COUNTIF(Clean_Table[Temp ID],Clean_Table[[#This Row],[Temp ID]])&gt;1,"Duplicate","Unique")</f>
        <v>Unique</v>
      </c>
      <c r="L302">
        <f>IF(Clean_Table[[#This Row],[Role]]="VIP",1,0)</f>
        <v>0</v>
      </c>
      <c r="M302">
        <f>IF(Clean_Table[[#This Row],[Role]]="Speaker",1,0)</f>
        <v>0</v>
      </c>
      <c r="N302">
        <f>IF(Clean_Table[[#This Row],[Role]]="Sponsor",1,0)</f>
        <v>0</v>
      </c>
      <c r="O302">
        <f>IF(Clean_Table[[#This Row],[Role]]="Attendee",1,0)</f>
        <v>1</v>
      </c>
      <c r="P302">
        <f>IF(Clean_Table[[#This Row],[Empty Cell Check]]="Missing",1,0)</f>
        <v>0</v>
      </c>
    </row>
    <row r="303" spans="1:16">
      <c r="A303" t="s">
        <v>173</v>
      </c>
      <c r="B303" t="s">
        <v>547</v>
      </c>
      <c r="C303" t="s">
        <v>68</v>
      </c>
      <c r="D303" t="s">
        <v>79</v>
      </c>
      <c r="E303" s="2" t="s">
        <v>835</v>
      </c>
      <c r="F303" t="s">
        <v>542</v>
      </c>
      <c r="G303" t="s">
        <v>810</v>
      </c>
      <c r="H303" t="s">
        <v>39</v>
      </c>
      <c r="I30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0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Chris Allenchris.allen72@example.comIndiaPanel: Women in Tech02:30 PM40CAttendee</v>
      </c>
      <c r="K303" t="str">
        <f>IF(COUNTIF(Clean_Table[Temp ID],Clean_Table[[#This Row],[Temp ID]])&gt;1,"Duplicate","Unique")</f>
        <v>Unique</v>
      </c>
      <c r="L303">
        <f>IF(Clean_Table[[#This Row],[Role]]="VIP",1,0)</f>
        <v>0</v>
      </c>
      <c r="M303">
        <f>IF(Clean_Table[[#This Row],[Role]]="Speaker",1,0)</f>
        <v>0</v>
      </c>
      <c r="N303">
        <f>IF(Clean_Table[[#This Row],[Role]]="Sponsor",1,0)</f>
        <v>0</v>
      </c>
      <c r="O303">
        <f>IF(Clean_Table[[#This Row],[Role]]="Attendee",1,0)</f>
        <v>1</v>
      </c>
      <c r="P303">
        <f>IF(Clean_Table[[#This Row],[Empty Cell Check]]="Missing",1,0)</f>
        <v>1</v>
      </c>
    </row>
    <row r="304" spans="1:16">
      <c r="A304" t="s">
        <v>234</v>
      </c>
      <c r="B304" t="s">
        <v>548</v>
      </c>
      <c r="C304" t="s">
        <v>37</v>
      </c>
      <c r="D304" t="s">
        <v>810</v>
      </c>
      <c r="E304" s="1" t="s">
        <v>827</v>
      </c>
      <c r="F304" t="s">
        <v>549</v>
      </c>
      <c r="G304" t="s">
        <v>15</v>
      </c>
      <c r="H304" t="s">
        <v>39</v>
      </c>
      <c r="I30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0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Brownjamie.brown450@example.comCanada04:30 AM40DVegetarianAttendee</v>
      </c>
      <c r="K304" t="str">
        <f>IF(COUNTIF(Clean_Table[Temp ID],Clean_Table[[#This Row],[Temp ID]])&gt;1,"Duplicate","Unique")</f>
        <v>Unique</v>
      </c>
      <c r="L304">
        <f>IF(Clean_Table[[#This Row],[Role]]="VIP",1,0)</f>
        <v>0</v>
      </c>
      <c r="M304">
        <f>IF(Clean_Table[[#This Row],[Role]]="Speaker",1,0)</f>
        <v>0</v>
      </c>
      <c r="N304">
        <f>IF(Clean_Table[[#This Row],[Role]]="Sponsor",1,0)</f>
        <v>0</v>
      </c>
      <c r="O304">
        <f>IF(Clean_Table[[#This Row],[Role]]="Attendee",1,0)</f>
        <v>1</v>
      </c>
      <c r="P304">
        <f>IF(Clean_Table[[#This Row],[Empty Cell Check]]="Missing",1,0)</f>
        <v>1</v>
      </c>
    </row>
    <row r="305" spans="1:16">
      <c r="A305" t="s">
        <v>133</v>
      </c>
      <c r="B305" t="s">
        <v>550</v>
      </c>
      <c r="C305" t="s">
        <v>12</v>
      </c>
      <c r="D305" t="s">
        <v>79</v>
      </c>
      <c r="E305" s="2" t="s">
        <v>844</v>
      </c>
      <c r="F305" t="s">
        <v>549</v>
      </c>
      <c r="G305" t="s">
        <v>28</v>
      </c>
      <c r="H305" t="s">
        <v>39</v>
      </c>
      <c r="I30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30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Walkerriley.walker39@example.comUnited StatesPanel: Women in Tech02:00 AM40DKosherAttendee</v>
      </c>
      <c r="K305" t="str">
        <f>IF(COUNTIF(Clean_Table[Temp ID],Clean_Table[[#This Row],[Temp ID]])&gt;1,"Duplicate","Unique")</f>
        <v>Unique</v>
      </c>
      <c r="L305">
        <f>IF(Clean_Table[[#This Row],[Role]]="VIP",1,0)</f>
        <v>0</v>
      </c>
      <c r="M305">
        <f>IF(Clean_Table[[#This Row],[Role]]="Speaker",1,0)</f>
        <v>0</v>
      </c>
      <c r="N305">
        <f>IF(Clean_Table[[#This Row],[Role]]="Sponsor",1,0)</f>
        <v>0</v>
      </c>
      <c r="O305">
        <f>IF(Clean_Table[[#This Row],[Role]]="Attendee",1,0)</f>
        <v>1</v>
      </c>
      <c r="P305">
        <f>IF(Clean_Table[[#This Row],[Empty Cell Check]]="Missing",1,0)</f>
        <v>0</v>
      </c>
    </row>
    <row r="306" spans="1:16">
      <c r="A306" t="s">
        <v>255</v>
      </c>
      <c r="B306" t="s">
        <v>551</v>
      </c>
      <c r="C306" t="s">
        <v>101</v>
      </c>
      <c r="D306" t="s">
        <v>79</v>
      </c>
      <c r="E306" s="2" t="s">
        <v>852</v>
      </c>
      <c r="F306" t="s">
        <v>549</v>
      </c>
      <c r="G306" t="s">
        <v>15</v>
      </c>
      <c r="H306" t="s">
        <v>39</v>
      </c>
      <c r="I30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30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Walkertaylor.walker935@example.comJapanPanel: Women in Tech09:30 PM40DVegetarianAttendee</v>
      </c>
      <c r="K306" t="str">
        <f>IF(COUNTIF(Clean_Table[Temp ID],Clean_Table[[#This Row],[Temp ID]])&gt;1,"Duplicate","Unique")</f>
        <v>Unique</v>
      </c>
      <c r="L306">
        <f>IF(Clean_Table[[#This Row],[Role]]="VIP",1,0)</f>
        <v>0</v>
      </c>
      <c r="M306">
        <f>IF(Clean_Table[[#This Row],[Role]]="Speaker",1,0)</f>
        <v>0</v>
      </c>
      <c r="N306">
        <f>IF(Clean_Table[[#This Row],[Role]]="Sponsor",1,0)</f>
        <v>0</v>
      </c>
      <c r="O306">
        <f>IF(Clean_Table[[#This Row],[Role]]="Attendee",1,0)</f>
        <v>1</v>
      </c>
      <c r="P306">
        <f>IF(Clean_Table[[#This Row],[Empty Cell Check]]="Missing",1,0)</f>
        <v>0</v>
      </c>
    </row>
    <row r="307" spans="1:16">
      <c r="A307" t="s">
        <v>288</v>
      </c>
      <c r="B307" t="s">
        <v>552</v>
      </c>
      <c r="C307" t="s">
        <v>112</v>
      </c>
      <c r="D307" t="s">
        <v>45</v>
      </c>
      <c r="E307" s="1" t="s">
        <v>847</v>
      </c>
      <c r="F307" t="s">
        <v>553</v>
      </c>
      <c r="G307" t="s">
        <v>15</v>
      </c>
      <c r="H307" t="s">
        <v>39</v>
      </c>
      <c r="I30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30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Alex Johnsonalex.johnson964@example.comNigeriaKeynote: Future of Data07:30 PM41AVegetarianAttendee</v>
      </c>
      <c r="K307" t="str">
        <f>IF(COUNTIF(Clean_Table[Temp ID],Clean_Table[[#This Row],[Temp ID]])&gt;1,"Duplicate","Unique")</f>
        <v>Unique</v>
      </c>
      <c r="L307">
        <f>IF(Clean_Table[[#This Row],[Role]]="VIP",1,0)</f>
        <v>0</v>
      </c>
      <c r="M307">
        <f>IF(Clean_Table[[#This Row],[Role]]="Speaker",1,0)</f>
        <v>0</v>
      </c>
      <c r="N307">
        <f>IF(Clean_Table[[#This Row],[Role]]="Sponsor",1,0)</f>
        <v>0</v>
      </c>
      <c r="O307">
        <f>IF(Clean_Table[[#This Row],[Role]]="Attendee",1,0)</f>
        <v>1</v>
      </c>
      <c r="P307">
        <f>IF(Clean_Table[[#This Row],[Empty Cell Check]]="Missing",1,0)</f>
        <v>0</v>
      </c>
    </row>
    <row r="308" spans="1:16">
      <c r="A308" t="s">
        <v>108</v>
      </c>
      <c r="B308" t="s">
        <v>554</v>
      </c>
      <c r="C308" t="s">
        <v>68</v>
      </c>
      <c r="D308" t="s">
        <v>71</v>
      </c>
      <c r="E308" s="2" t="s">
        <v>857</v>
      </c>
      <c r="F308" t="s">
        <v>553</v>
      </c>
      <c r="G308" t="s">
        <v>810</v>
      </c>
      <c r="H308" t="s">
        <v>39</v>
      </c>
      <c r="I30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0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Wilsonjamie.wilson652@example.comIndiaWebinar: AI Ethics09:00 PM41AAttendee</v>
      </c>
      <c r="K308" t="str">
        <f>IF(COUNTIF(Clean_Table[Temp ID],Clean_Table[[#This Row],[Temp ID]])&gt;1,"Duplicate","Unique")</f>
        <v>Unique</v>
      </c>
      <c r="L308">
        <f>IF(Clean_Table[[#This Row],[Role]]="VIP",1,0)</f>
        <v>0</v>
      </c>
      <c r="M308">
        <f>IF(Clean_Table[[#This Row],[Role]]="Speaker",1,0)</f>
        <v>0</v>
      </c>
      <c r="N308">
        <f>IF(Clean_Table[[#This Row],[Role]]="Sponsor",1,0)</f>
        <v>0</v>
      </c>
      <c r="O308">
        <f>IF(Clean_Table[[#This Row],[Role]]="Attendee",1,0)</f>
        <v>1</v>
      </c>
      <c r="P308">
        <f>IF(Clean_Table[[#This Row],[Empty Cell Check]]="Missing",1,0)</f>
        <v>1</v>
      </c>
    </row>
    <row r="309" spans="1:16">
      <c r="A309" t="s">
        <v>133</v>
      </c>
      <c r="B309" t="s">
        <v>555</v>
      </c>
      <c r="C309" t="s">
        <v>68</v>
      </c>
      <c r="D309" t="s">
        <v>810</v>
      </c>
      <c r="E309" s="2" t="s">
        <v>828</v>
      </c>
      <c r="F309" t="s">
        <v>556</v>
      </c>
      <c r="G309" t="s">
        <v>91</v>
      </c>
      <c r="H309" t="s">
        <v>39</v>
      </c>
      <c r="I30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0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Walkerriley.walker266@example.comIndia04:30 PM41BHalalAttendee</v>
      </c>
      <c r="K309" t="str">
        <f>IF(COUNTIF(Clean_Table[Temp ID],Clean_Table[[#This Row],[Temp ID]])&gt;1,"Duplicate","Unique")</f>
        <v>Unique</v>
      </c>
      <c r="L309">
        <f>IF(Clean_Table[[#This Row],[Role]]="VIP",1,0)</f>
        <v>0</v>
      </c>
      <c r="M309">
        <f>IF(Clean_Table[[#This Row],[Role]]="Speaker",1,0)</f>
        <v>0</v>
      </c>
      <c r="N309">
        <f>IF(Clean_Table[[#This Row],[Role]]="Sponsor",1,0)</f>
        <v>0</v>
      </c>
      <c r="O309">
        <f>IF(Clean_Table[[#This Row],[Role]]="Attendee",1,0)</f>
        <v>1</v>
      </c>
      <c r="P309">
        <f>IF(Clean_Table[[#This Row],[Empty Cell Check]]="Missing",1,0)</f>
        <v>1</v>
      </c>
    </row>
    <row r="310" spans="1:16">
      <c r="A310" t="s">
        <v>35</v>
      </c>
      <c r="B310" t="s">
        <v>557</v>
      </c>
      <c r="C310" t="s">
        <v>34</v>
      </c>
      <c r="D310" t="s">
        <v>810</v>
      </c>
      <c r="E310" s="2" t="s">
        <v>851</v>
      </c>
      <c r="F310" t="s">
        <v>556</v>
      </c>
      <c r="G310" t="s">
        <v>91</v>
      </c>
      <c r="H310" t="s">
        <v>39</v>
      </c>
      <c r="I31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1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Halltaylor.hall226@example.comGermany05:30 PM41BHalalAttendee</v>
      </c>
      <c r="K310" t="str">
        <f>IF(COUNTIF(Clean_Table[Temp ID],Clean_Table[[#This Row],[Temp ID]])&gt;1,"Duplicate","Unique")</f>
        <v>Unique</v>
      </c>
      <c r="L310">
        <f>IF(Clean_Table[[#This Row],[Role]]="VIP",1,0)</f>
        <v>0</v>
      </c>
      <c r="M310">
        <f>IF(Clean_Table[[#This Row],[Role]]="Speaker",1,0)</f>
        <v>0</v>
      </c>
      <c r="N310">
        <f>IF(Clean_Table[[#This Row],[Role]]="Sponsor",1,0)</f>
        <v>0</v>
      </c>
      <c r="O310">
        <f>IF(Clean_Table[[#This Row],[Role]]="Attendee",1,0)</f>
        <v>1</v>
      </c>
      <c r="P310">
        <f>IF(Clean_Table[[#This Row],[Empty Cell Check]]="Missing",1,0)</f>
        <v>1</v>
      </c>
    </row>
    <row r="311" spans="1:16">
      <c r="A311" t="s">
        <v>133</v>
      </c>
      <c r="B311" t="s">
        <v>558</v>
      </c>
      <c r="C311" t="s">
        <v>27</v>
      </c>
      <c r="D311" t="s">
        <v>810</v>
      </c>
      <c r="E311" s="2" t="s">
        <v>852</v>
      </c>
      <c r="F311" t="s">
        <v>559</v>
      </c>
      <c r="G311" t="s">
        <v>15</v>
      </c>
      <c r="H311" t="s">
        <v>39</v>
      </c>
      <c r="I31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1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Walkerriley.walker773@example.comFrance09:30 PM41CVegetarianAttendee</v>
      </c>
      <c r="K311" t="str">
        <f>IF(COUNTIF(Clean_Table[Temp ID],Clean_Table[[#This Row],[Temp ID]])&gt;1,"Duplicate","Unique")</f>
        <v>Unique</v>
      </c>
      <c r="L311">
        <f>IF(Clean_Table[[#This Row],[Role]]="VIP",1,0)</f>
        <v>0</v>
      </c>
      <c r="M311">
        <f>IF(Clean_Table[[#This Row],[Role]]="Speaker",1,0)</f>
        <v>0</v>
      </c>
      <c r="N311">
        <f>IF(Clean_Table[[#This Row],[Role]]="Sponsor",1,0)</f>
        <v>0</v>
      </c>
      <c r="O311">
        <f>IF(Clean_Table[[#This Row],[Role]]="Attendee",1,0)</f>
        <v>1</v>
      </c>
      <c r="P311">
        <f>IF(Clean_Table[[#This Row],[Empty Cell Check]]="Missing",1,0)</f>
        <v>1</v>
      </c>
    </row>
    <row r="312" spans="1:16">
      <c r="A312" t="s">
        <v>127</v>
      </c>
      <c r="B312" t="s">
        <v>560</v>
      </c>
      <c r="C312" t="s">
        <v>12</v>
      </c>
      <c r="D312" t="s">
        <v>71</v>
      </c>
      <c r="E312" s="1" t="s">
        <v>856</v>
      </c>
      <c r="F312" t="s">
        <v>561</v>
      </c>
      <c r="G312" t="s">
        <v>810</v>
      </c>
      <c r="H312" t="s">
        <v>39</v>
      </c>
      <c r="I31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1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Lewiscasey.lewis755@example.comUnited StatesWebinar: AI Ethics06:00 AM41DAttendee</v>
      </c>
      <c r="K312" t="str">
        <f>IF(COUNTIF(Clean_Table[Temp ID],Clean_Table[[#This Row],[Temp ID]])&gt;1,"Duplicate","Unique")</f>
        <v>Unique</v>
      </c>
      <c r="L312">
        <f>IF(Clean_Table[[#This Row],[Role]]="VIP",1,0)</f>
        <v>0</v>
      </c>
      <c r="M312">
        <f>IF(Clean_Table[[#This Row],[Role]]="Speaker",1,0)</f>
        <v>0</v>
      </c>
      <c r="N312">
        <f>IF(Clean_Table[[#This Row],[Role]]="Sponsor",1,0)</f>
        <v>0</v>
      </c>
      <c r="O312">
        <f>IF(Clean_Table[[#This Row],[Role]]="Attendee",1,0)</f>
        <v>1</v>
      </c>
      <c r="P312">
        <f>IF(Clean_Table[[#This Row],[Empty Cell Check]]="Missing",1,0)</f>
        <v>1</v>
      </c>
    </row>
    <row r="313" spans="1:16">
      <c r="A313" t="s">
        <v>242</v>
      </c>
      <c r="B313" t="s">
        <v>562</v>
      </c>
      <c r="C313" t="s">
        <v>12</v>
      </c>
      <c r="D313" t="s">
        <v>810</v>
      </c>
      <c r="E313" s="2" t="s">
        <v>828</v>
      </c>
      <c r="F313" t="s">
        <v>561</v>
      </c>
      <c r="G313" t="s">
        <v>28</v>
      </c>
      <c r="H313" t="s">
        <v>39</v>
      </c>
      <c r="I31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1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Smithmorgan.smith945@example.comUnited States04:30 PM41DKosherAttendee</v>
      </c>
      <c r="K313" t="str">
        <f>IF(COUNTIF(Clean_Table[Temp ID],Clean_Table[[#This Row],[Temp ID]])&gt;1,"Duplicate","Unique")</f>
        <v>Unique</v>
      </c>
      <c r="L313">
        <f>IF(Clean_Table[[#This Row],[Role]]="VIP",1,0)</f>
        <v>0</v>
      </c>
      <c r="M313">
        <f>IF(Clean_Table[[#This Row],[Role]]="Speaker",1,0)</f>
        <v>0</v>
      </c>
      <c r="N313">
        <f>IF(Clean_Table[[#This Row],[Role]]="Sponsor",1,0)</f>
        <v>0</v>
      </c>
      <c r="O313">
        <f>IF(Clean_Table[[#This Row],[Role]]="Attendee",1,0)</f>
        <v>1</v>
      </c>
      <c r="P313">
        <f>IF(Clean_Table[[#This Row],[Empty Cell Check]]="Missing",1,0)</f>
        <v>1</v>
      </c>
    </row>
    <row r="314" spans="1:16">
      <c r="A314" t="s">
        <v>64</v>
      </c>
      <c r="B314" t="s">
        <v>563</v>
      </c>
      <c r="C314" t="s">
        <v>810</v>
      </c>
      <c r="D314" t="s">
        <v>79</v>
      </c>
      <c r="E314" s="1" t="s">
        <v>825</v>
      </c>
      <c r="F314" t="s">
        <v>564</v>
      </c>
      <c r="G314" t="s">
        <v>52</v>
      </c>
      <c r="H314" t="s">
        <v>39</v>
      </c>
      <c r="I31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1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Smithjamie.smith385@example.comPanel: Women in Tech10:00 AM42AVeganAttendee</v>
      </c>
      <c r="K314" t="str">
        <f>IF(COUNTIF(Clean_Table[Temp ID],Clean_Table[[#This Row],[Temp ID]])&gt;1,"Duplicate","Unique")</f>
        <v>Unique</v>
      </c>
      <c r="L314">
        <f>IF(Clean_Table[[#This Row],[Role]]="VIP",1,0)</f>
        <v>0</v>
      </c>
      <c r="M314">
        <f>IF(Clean_Table[[#This Row],[Role]]="Speaker",1,0)</f>
        <v>0</v>
      </c>
      <c r="N314">
        <f>IF(Clean_Table[[#This Row],[Role]]="Sponsor",1,0)</f>
        <v>0</v>
      </c>
      <c r="O314">
        <f>IF(Clean_Table[[#This Row],[Role]]="Attendee",1,0)</f>
        <v>1</v>
      </c>
      <c r="P314">
        <f>IF(Clean_Table[[#This Row],[Empty Cell Check]]="Missing",1,0)</f>
        <v>1</v>
      </c>
    </row>
    <row r="315" spans="1:16">
      <c r="A315" t="s">
        <v>205</v>
      </c>
      <c r="B315" t="s">
        <v>565</v>
      </c>
      <c r="C315" t="s">
        <v>810</v>
      </c>
      <c r="D315" t="s">
        <v>79</v>
      </c>
      <c r="E315" s="1" t="s">
        <v>847</v>
      </c>
      <c r="F315" t="s">
        <v>564</v>
      </c>
      <c r="G315" t="s">
        <v>31</v>
      </c>
      <c r="H315" t="s">
        <v>39</v>
      </c>
      <c r="I31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1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Drew Johnsondrew.johnson855@example.comPanel: Women in Tech07:30 PM42ANoneAttendee</v>
      </c>
      <c r="K315" t="str">
        <f>IF(COUNTIF(Clean_Table[Temp ID],Clean_Table[[#This Row],[Temp ID]])&gt;1,"Duplicate","Unique")</f>
        <v>Unique</v>
      </c>
      <c r="L315">
        <f>IF(Clean_Table[[#This Row],[Role]]="VIP",1,0)</f>
        <v>0</v>
      </c>
      <c r="M315">
        <f>IF(Clean_Table[[#This Row],[Role]]="Speaker",1,0)</f>
        <v>0</v>
      </c>
      <c r="N315">
        <f>IF(Clean_Table[[#This Row],[Role]]="Sponsor",1,0)</f>
        <v>0</v>
      </c>
      <c r="O315">
        <f>IF(Clean_Table[[#This Row],[Role]]="Attendee",1,0)</f>
        <v>1</v>
      </c>
      <c r="P315">
        <f>IF(Clean_Table[[#This Row],[Empty Cell Check]]="Missing",1,0)</f>
        <v>1</v>
      </c>
    </row>
    <row r="316" spans="1:16">
      <c r="A316" t="s">
        <v>190</v>
      </c>
      <c r="B316" t="s">
        <v>566</v>
      </c>
      <c r="C316" t="s">
        <v>37</v>
      </c>
      <c r="D316" t="s">
        <v>810</v>
      </c>
      <c r="E316" s="2" t="s">
        <v>844</v>
      </c>
      <c r="F316" t="s">
        <v>564</v>
      </c>
      <c r="G316" t="s">
        <v>52</v>
      </c>
      <c r="H316" t="s">
        <v>39</v>
      </c>
      <c r="I31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1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Johnsoncasey.johnson195@example.comCanada02:00 AM42AVeganAttendee</v>
      </c>
      <c r="K316" t="str">
        <f>IF(COUNTIF(Clean_Table[Temp ID],Clean_Table[[#This Row],[Temp ID]])&gt;1,"Duplicate","Unique")</f>
        <v>Unique</v>
      </c>
      <c r="L316">
        <f>IF(Clean_Table[[#This Row],[Role]]="VIP",1,0)</f>
        <v>0</v>
      </c>
      <c r="M316">
        <f>IF(Clean_Table[[#This Row],[Role]]="Speaker",1,0)</f>
        <v>0</v>
      </c>
      <c r="N316">
        <f>IF(Clean_Table[[#This Row],[Role]]="Sponsor",1,0)</f>
        <v>0</v>
      </c>
      <c r="O316">
        <f>IF(Clean_Table[[#This Row],[Role]]="Attendee",1,0)</f>
        <v>1</v>
      </c>
      <c r="P316">
        <f>IF(Clean_Table[[#This Row],[Empty Cell Check]]="Missing",1,0)</f>
        <v>1</v>
      </c>
    </row>
    <row r="317" spans="1:16">
      <c r="A317" t="s">
        <v>117</v>
      </c>
      <c r="B317" t="s">
        <v>567</v>
      </c>
      <c r="C317" t="s">
        <v>34</v>
      </c>
      <c r="D317" t="s">
        <v>79</v>
      </c>
      <c r="E317" s="1" t="s">
        <v>841</v>
      </c>
      <c r="F317" t="s">
        <v>564</v>
      </c>
      <c r="G317" t="s">
        <v>15</v>
      </c>
      <c r="H317" t="s">
        <v>39</v>
      </c>
      <c r="I31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31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Wilsontaylor.wilson106@example.comGermanyPanel: Women in Tech03:00 AM42AVegetarianAttendee</v>
      </c>
      <c r="K317" t="str">
        <f>IF(COUNTIF(Clean_Table[Temp ID],Clean_Table[[#This Row],[Temp ID]])&gt;1,"Duplicate","Unique")</f>
        <v>Unique</v>
      </c>
      <c r="L317">
        <f>IF(Clean_Table[[#This Row],[Role]]="VIP",1,0)</f>
        <v>0</v>
      </c>
      <c r="M317">
        <f>IF(Clean_Table[[#This Row],[Role]]="Speaker",1,0)</f>
        <v>0</v>
      </c>
      <c r="N317">
        <f>IF(Clean_Table[[#This Row],[Role]]="Sponsor",1,0)</f>
        <v>0</v>
      </c>
      <c r="O317">
        <f>IF(Clean_Table[[#This Row],[Role]]="Attendee",1,0)</f>
        <v>1</v>
      </c>
      <c r="P317">
        <f>IF(Clean_Table[[#This Row],[Empty Cell Check]]="Missing",1,0)</f>
        <v>0</v>
      </c>
    </row>
    <row r="318" spans="1:16">
      <c r="A318" t="s">
        <v>211</v>
      </c>
      <c r="B318" t="s">
        <v>568</v>
      </c>
      <c r="C318" t="s">
        <v>810</v>
      </c>
      <c r="D318" t="s">
        <v>71</v>
      </c>
      <c r="E318" s="1" t="s">
        <v>833</v>
      </c>
      <c r="F318" t="s">
        <v>569</v>
      </c>
      <c r="G318" t="s">
        <v>91</v>
      </c>
      <c r="H318" t="s">
        <v>39</v>
      </c>
      <c r="I31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1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Johnsonmorgan.johnson807@example.comWebinar: AI Ethics07:00 AM42BHalalAttendee</v>
      </c>
      <c r="K318" t="str">
        <f>IF(COUNTIF(Clean_Table[Temp ID],Clean_Table[[#This Row],[Temp ID]])&gt;1,"Duplicate","Unique")</f>
        <v>Unique</v>
      </c>
      <c r="L318">
        <f>IF(Clean_Table[[#This Row],[Role]]="VIP",1,0)</f>
        <v>0</v>
      </c>
      <c r="M318">
        <f>IF(Clean_Table[[#This Row],[Role]]="Speaker",1,0)</f>
        <v>0</v>
      </c>
      <c r="N318">
        <f>IF(Clean_Table[[#This Row],[Role]]="Sponsor",1,0)</f>
        <v>0</v>
      </c>
      <c r="O318">
        <f>IF(Clean_Table[[#This Row],[Role]]="Attendee",1,0)</f>
        <v>1</v>
      </c>
      <c r="P318">
        <f>IF(Clean_Table[[#This Row],[Empty Cell Check]]="Missing",1,0)</f>
        <v>1</v>
      </c>
    </row>
    <row r="319" spans="1:16">
      <c r="A319" t="s">
        <v>536</v>
      </c>
      <c r="B319" t="s">
        <v>570</v>
      </c>
      <c r="C319" t="s">
        <v>12</v>
      </c>
      <c r="D319" t="s">
        <v>13</v>
      </c>
      <c r="E319" s="1" t="s">
        <v>841</v>
      </c>
      <c r="F319" t="s">
        <v>569</v>
      </c>
      <c r="G319" t="s">
        <v>810</v>
      </c>
      <c r="H319" t="s">
        <v>39</v>
      </c>
      <c r="I31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1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Chris Brownchris.brown292@example.comUnited StatesTraining: Dashboard Design03:00 AM42BAttendee</v>
      </c>
      <c r="K319" t="str">
        <f>IF(COUNTIF(Clean_Table[Temp ID],Clean_Table[[#This Row],[Temp ID]])&gt;1,"Duplicate","Unique")</f>
        <v>Unique</v>
      </c>
      <c r="L319">
        <f>IF(Clean_Table[[#This Row],[Role]]="VIP",1,0)</f>
        <v>0</v>
      </c>
      <c r="M319">
        <f>IF(Clean_Table[[#This Row],[Role]]="Speaker",1,0)</f>
        <v>0</v>
      </c>
      <c r="N319">
        <f>IF(Clean_Table[[#This Row],[Role]]="Sponsor",1,0)</f>
        <v>0</v>
      </c>
      <c r="O319">
        <f>IF(Clean_Table[[#This Row],[Role]]="Attendee",1,0)</f>
        <v>1</v>
      </c>
      <c r="P319">
        <f>IF(Clean_Table[[#This Row],[Empty Cell Check]]="Missing",1,0)</f>
        <v>1</v>
      </c>
    </row>
    <row r="320" spans="1:16">
      <c r="A320" t="s">
        <v>571</v>
      </c>
      <c r="B320" t="s">
        <v>572</v>
      </c>
      <c r="C320" t="s">
        <v>101</v>
      </c>
      <c r="D320" t="s">
        <v>13</v>
      </c>
      <c r="E320" s="1" t="s">
        <v>832</v>
      </c>
      <c r="F320" t="s">
        <v>569</v>
      </c>
      <c r="G320" t="s">
        <v>52</v>
      </c>
      <c r="H320" t="s">
        <v>39</v>
      </c>
      <c r="I32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32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Jordan Walkerjordan.walker103@example.comJapanTraining: Dashboard Design12:00 PM42BVeganAttendee</v>
      </c>
      <c r="K320" t="str">
        <f>IF(COUNTIF(Clean_Table[Temp ID],Clean_Table[[#This Row],[Temp ID]])&gt;1,"Duplicate","Unique")</f>
        <v>Unique</v>
      </c>
      <c r="L320">
        <f>IF(Clean_Table[[#This Row],[Role]]="VIP",1,0)</f>
        <v>0</v>
      </c>
      <c r="M320">
        <f>IF(Clean_Table[[#This Row],[Role]]="Speaker",1,0)</f>
        <v>0</v>
      </c>
      <c r="N320">
        <f>IF(Clean_Table[[#This Row],[Role]]="Sponsor",1,0)</f>
        <v>0</v>
      </c>
      <c r="O320">
        <f>IF(Clean_Table[[#This Row],[Role]]="Attendee",1,0)</f>
        <v>1</v>
      </c>
      <c r="P320">
        <f>IF(Clean_Table[[#This Row],[Empty Cell Check]]="Missing",1,0)</f>
        <v>0</v>
      </c>
    </row>
    <row r="321" spans="1:16">
      <c r="A321" t="s">
        <v>234</v>
      </c>
      <c r="B321" t="s">
        <v>573</v>
      </c>
      <c r="C321" t="s">
        <v>27</v>
      </c>
      <c r="D321" t="s">
        <v>79</v>
      </c>
      <c r="E321" s="1" t="s">
        <v>849</v>
      </c>
      <c r="F321" t="s">
        <v>569</v>
      </c>
      <c r="G321" t="s">
        <v>810</v>
      </c>
      <c r="H321" t="s">
        <v>39</v>
      </c>
      <c r="I32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2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Brownjamie.brown427@example.comFrancePanel: Women in Tech10:30 PM42BAttendee</v>
      </c>
      <c r="K321" t="str">
        <f>IF(COUNTIF(Clean_Table[Temp ID],Clean_Table[[#This Row],[Temp ID]])&gt;1,"Duplicate","Unique")</f>
        <v>Unique</v>
      </c>
      <c r="L321">
        <f>IF(Clean_Table[[#This Row],[Role]]="VIP",1,0)</f>
        <v>0</v>
      </c>
      <c r="M321">
        <f>IF(Clean_Table[[#This Row],[Role]]="Speaker",1,0)</f>
        <v>0</v>
      </c>
      <c r="N321">
        <f>IF(Clean_Table[[#This Row],[Role]]="Sponsor",1,0)</f>
        <v>0</v>
      </c>
      <c r="O321">
        <f>IF(Clean_Table[[#This Row],[Role]]="Attendee",1,0)</f>
        <v>1</v>
      </c>
      <c r="P321">
        <f>IF(Clean_Table[[#This Row],[Empty Cell Check]]="Missing",1,0)</f>
        <v>1</v>
      </c>
    </row>
    <row r="322" spans="1:16">
      <c r="A322" t="s">
        <v>76</v>
      </c>
      <c r="B322" t="s">
        <v>574</v>
      </c>
      <c r="C322" t="s">
        <v>34</v>
      </c>
      <c r="D322" t="s">
        <v>810</v>
      </c>
      <c r="E322" s="2" t="s">
        <v>859</v>
      </c>
      <c r="F322" t="s">
        <v>575</v>
      </c>
      <c r="G322" t="s">
        <v>15</v>
      </c>
      <c r="H322" t="s">
        <v>39</v>
      </c>
      <c r="I32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2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Chris Clarkchris.clark140@example.comGermany08:30 PM42CVegetarianAttendee</v>
      </c>
      <c r="K322" t="str">
        <f>IF(COUNTIF(Clean_Table[Temp ID],Clean_Table[[#This Row],[Temp ID]])&gt;1,"Duplicate","Unique")</f>
        <v>Unique</v>
      </c>
      <c r="L322">
        <f>IF(Clean_Table[[#This Row],[Role]]="VIP",1,0)</f>
        <v>0</v>
      </c>
      <c r="M322">
        <f>IF(Clean_Table[[#This Row],[Role]]="Speaker",1,0)</f>
        <v>0</v>
      </c>
      <c r="N322">
        <f>IF(Clean_Table[[#This Row],[Role]]="Sponsor",1,0)</f>
        <v>0</v>
      </c>
      <c r="O322">
        <f>IF(Clean_Table[[#This Row],[Role]]="Attendee",1,0)</f>
        <v>1</v>
      </c>
      <c r="P322">
        <f>IF(Clean_Table[[#This Row],[Empty Cell Check]]="Missing",1,0)</f>
        <v>1</v>
      </c>
    </row>
    <row r="323" spans="1:16">
      <c r="A323" t="s">
        <v>322</v>
      </c>
      <c r="B323" t="s">
        <v>576</v>
      </c>
      <c r="C323" t="s">
        <v>68</v>
      </c>
      <c r="D323" t="s">
        <v>810</v>
      </c>
      <c r="E323" s="1" t="s">
        <v>856</v>
      </c>
      <c r="F323" t="s">
        <v>575</v>
      </c>
      <c r="G323" t="s">
        <v>810</v>
      </c>
      <c r="H323" t="s">
        <v>39</v>
      </c>
      <c r="I32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2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Drew Walkerdrew.walker280@example.comIndia06:00 AM42CAttendee</v>
      </c>
      <c r="K323" t="str">
        <f>IF(COUNTIF(Clean_Table[Temp ID],Clean_Table[[#This Row],[Temp ID]])&gt;1,"Duplicate","Unique")</f>
        <v>Unique</v>
      </c>
      <c r="L323">
        <f>IF(Clean_Table[[#This Row],[Role]]="VIP",1,0)</f>
        <v>0</v>
      </c>
      <c r="M323">
        <f>IF(Clean_Table[[#This Row],[Role]]="Speaker",1,0)</f>
        <v>0</v>
      </c>
      <c r="N323">
        <f>IF(Clean_Table[[#This Row],[Role]]="Sponsor",1,0)</f>
        <v>0</v>
      </c>
      <c r="O323">
        <f>IF(Clean_Table[[#This Row],[Role]]="Attendee",1,0)</f>
        <v>1</v>
      </c>
      <c r="P323">
        <f>IF(Clean_Table[[#This Row],[Empty Cell Check]]="Missing",1,0)</f>
        <v>1</v>
      </c>
    </row>
    <row r="324" spans="1:16">
      <c r="A324" t="s">
        <v>138</v>
      </c>
      <c r="B324" t="s">
        <v>577</v>
      </c>
      <c r="C324" t="s">
        <v>101</v>
      </c>
      <c r="D324" t="s">
        <v>13</v>
      </c>
      <c r="E324" s="2" t="s">
        <v>822</v>
      </c>
      <c r="F324" t="s">
        <v>578</v>
      </c>
      <c r="G324" t="s">
        <v>31</v>
      </c>
      <c r="H324" t="s">
        <v>39</v>
      </c>
      <c r="I32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32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Jesse Brownjesse.brown318@example.comJapanTraining: Dashboard Design04:00 AM42DNoneAttendee</v>
      </c>
      <c r="K324" t="str">
        <f>IF(COUNTIF(Clean_Table[Temp ID],Clean_Table[[#This Row],[Temp ID]])&gt;1,"Duplicate","Unique")</f>
        <v>Unique</v>
      </c>
      <c r="L324">
        <f>IF(Clean_Table[[#This Row],[Role]]="VIP",1,0)</f>
        <v>0</v>
      </c>
      <c r="M324">
        <f>IF(Clean_Table[[#This Row],[Role]]="Speaker",1,0)</f>
        <v>0</v>
      </c>
      <c r="N324">
        <f>IF(Clean_Table[[#This Row],[Role]]="Sponsor",1,0)</f>
        <v>0</v>
      </c>
      <c r="O324">
        <f>IF(Clean_Table[[#This Row],[Role]]="Attendee",1,0)</f>
        <v>1</v>
      </c>
      <c r="P324">
        <f>IF(Clean_Table[[#This Row],[Empty Cell Check]]="Missing",1,0)</f>
        <v>0</v>
      </c>
    </row>
    <row r="325" spans="1:16">
      <c r="A325" t="s">
        <v>288</v>
      </c>
      <c r="B325" t="s">
        <v>579</v>
      </c>
      <c r="C325" t="s">
        <v>27</v>
      </c>
      <c r="D325" t="s">
        <v>45</v>
      </c>
      <c r="E325" s="2" t="s">
        <v>821</v>
      </c>
      <c r="F325" t="s">
        <v>578</v>
      </c>
      <c r="G325" t="s">
        <v>15</v>
      </c>
      <c r="H325" t="s">
        <v>39</v>
      </c>
      <c r="I32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32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Alex Johnsonalex.johnson582@example.comFranceKeynote: Future of Data09:30 AM42DVegetarianAttendee</v>
      </c>
      <c r="K325" t="str">
        <f>IF(COUNTIF(Clean_Table[Temp ID],Clean_Table[[#This Row],[Temp ID]])&gt;1,"Duplicate","Unique")</f>
        <v>Unique</v>
      </c>
      <c r="L325">
        <f>IF(Clean_Table[[#This Row],[Role]]="VIP",1,0)</f>
        <v>0</v>
      </c>
      <c r="M325">
        <f>IF(Clean_Table[[#This Row],[Role]]="Speaker",1,0)</f>
        <v>0</v>
      </c>
      <c r="N325">
        <f>IF(Clean_Table[[#This Row],[Role]]="Sponsor",1,0)</f>
        <v>0</v>
      </c>
      <c r="O325">
        <f>IF(Clean_Table[[#This Row],[Role]]="Attendee",1,0)</f>
        <v>1</v>
      </c>
      <c r="P325">
        <f>IF(Clean_Table[[#This Row],[Empty Cell Check]]="Missing",1,0)</f>
        <v>0</v>
      </c>
    </row>
    <row r="326" spans="1:16">
      <c r="A326" t="s">
        <v>40</v>
      </c>
      <c r="B326" t="s">
        <v>580</v>
      </c>
      <c r="C326" t="s">
        <v>78</v>
      </c>
      <c r="D326" t="s">
        <v>810</v>
      </c>
      <c r="E326" s="1" t="s">
        <v>840</v>
      </c>
      <c r="F326" t="s">
        <v>578</v>
      </c>
      <c r="G326" t="s">
        <v>15</v>
      </c>
      <c r="H326" t="s">
        <v>39</v>
      </c>
      <c r="I32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2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Drew Allendrew.allen98@example.comAustralia08:30 AM42DVegetarianAttendee</v>
      </c>
      <c r="K326" t="str">
        <f>IF(COUNTIF(Clean_Table[Temp ID],Clean_Table[[#This Row],[Temp ID]])&gt;1,"Duplicate","Unique")</f>
        <v>Unique</v>
      </c>
      <c r="L326">
        <f>IF(Clean_Table[[#This Row],[Role]]="VIP",1,0)</f>
        <v>0</v>
      </c>
      <c r="M326">
        <f>IF(Clean_Table[[#This Row],[Role]]="Speaker",1,0)</f>
        <v>0</v>
      </c>
      <c r="N326">
        <f>IF(Clean_Table[[#This Row],[Role]]="Sponsor",1,0)</f>
        <v>0</v>
      </c>
      <c r="O326">
        <f>IF(Clean_Table[[#This Row],[Role]]="Attendee",1,0)</f>
        <v>1</v>
      </c>
      <c r="P326">
        <f>IF(Clean_Table[[#This Row],[Empty Cell Check]]="Missing",1,0)</f>
        <v>1</v>
      </c>
    </row>
    <row r="327" spans="1:16">
      <c r="A327" t="s">
        <v>173</v>
      </c>
      <c r="B327" t="s">
        <v>581</v>
      </c>
      <c r="C327" t="s">
        <v>96</v>
      </c>
      <c r="D327" t="s">
        <v>810</v>
      </c>
      <c r="E327" s="2" t="s">
        <v>815</v>
      </c>
      <c r="F327" t="s">
        <v>582</v>
      </c>
      <c r="G327" t="s">
        <v>28</v>
      </c>
      <c r="H327" t="s">
        <v>39</v>
      </c>
      <c r="I32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2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Chris Allenchris.allen89@example.comUnited Kingdom12:30 PM43AKosherAttendee</v>
      </c>
      <c r="K327" t="str">
        <f>IF(COUNTIF(Clean_Table[Temp ID],Clean_Table[[#This Row],[Temp ID]])&gt;1,"Duplicate","Unique")</f>
        <v>Unique</v>
      </c>
      <c r="L327">
        <f>IF(Clean_Table[[#This Row],[Role]]="VIP",1,0)</f>
        <v>0</v>
      </c>
      <c r="M327">
        <f>IF(Clean_Table[[#This Row],[Role]]="Speaker",1,0)</f>
        <v>0</v>
      </c>
      <c r="N327">
        <f>IF(Clean_Table[[#This Row],[Role]]="Sponsor",1,0)</f>
        <v>0</v>
      </c>
      <c r="O327">
        <f>IF(Clean_Table[[#This Row],[Role]]="Attendee",1,0)</f>
        <v>1</v>
      </c>
      <c r="P327">
        <f>IF(Clean_Table[[#This Row],[Empty Cell Check]]="Missing",1,0)</f>
        <v>1</v>
      </c>
    </row>
    <row r="328" spans="1:16">
      <c r="A328" t="s">
        <v>229</v>
      </c>
      <c r="B328" t="s">
        <v>583</v>
      </c>
      <c r="C328" t="s">
        <v>27</v>
      </c>
      <c r="D328" t="s">
        <v>13</v>
      </c>
      <c r="E328" s="2" t="s">
        <v>842</v>
      </c>
      <c r="F328" t="s">
        <v>584</v>
      </c>
      <c r="G328" t="s">
        <v>52</v>
      </c>
      <c r="H328" t="s">
        <v>39</v>
      </c>
      <c r="I32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32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Jordan Wilsonjordan.wilson744@example.comFranceTraining: Dashboard Design11:00 AM43BVeganAttendee</v>
      </c>
      <c r="K328" t="str">
        <f>IF(COUNTIF(Clean_Table[Temp ID],Clean_Table[[#This Row],[Temp ID]])&gt;1,"Duplicate","Unique")</f>
        <v>Unique</v>
      </c>
      <c r="L328">
        <f>IF(Clean_Table[[#This Row],[Role]]="VIP",1,0)</f>
        <v>0</v>
      </c>
      <c r="M328">
        <f>IF(Clean_Table[[#This Row],[Role]]="Speaker",1,0)</f>
        <v>0</v>
      </c>
      <c r="N328">
        <f>IF(Clean_Table[[#This Row],[Role]]="Sponsor",1,0)</f>
        <v>0</v>
      </c>
      <c r="O328">
        <f>IF(Clean_Table[[#This Row],[Role]]="Attendee",1,0)</f>
        <v>1</v>
      </c>
      <c r="P328">
        <f>IF(Clean_Table[[#This Row],[Empty Cell Check]]="Missing",1,0)</f>
        <v>0</v>
      </c>
    </row>
    <row r="329" spans="1:16">
      <c r="A329" t="s">
        <v>159</v>
      </c>
      <c r="B329" t="s">
        <v>585</v>
      </c>
      <c r="C329" t="s">
        <v>37</v>
      </c>
      <c r="D329" t="s">
        <v>13</v>
      </c>
      <c r="E329" s="2" t="s">
        <v>858</v>
      </c>
      <c r="F329" t="s">
        <v>584</v>
      </c>
      <c r="G329" t="s">
        <v>810</v>
      </c>
      <c r="H329" t="s">
        <v>39</v>
      </c>
      <c r="I32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2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Hallriley.hall523@example.comCanadaTraining: Dashboard Design04:00 PM43BAttendee</v>
      </c>
      <c r="K329" t="str">
        <f>IF(COUNTIF(Clean_Table[Temp ID],Clean_Table[[#This Row],[Temp ID]])&gt;1,"Duplicate","Unique")</f>
        <v>Unique</v>
      </c>
      <c r="L329">
        <f>IF(Clean_Table[[#This Row],[Role]]="VIP",1,0)</f>
        <v>0</v>
      </c>
      <c r="M329">
        <f>IF(Clean_Table[[#This Row],[Role]]="Speaker",1,0)</f>
        <v>0</v>
      </c>
      <c r="N329">
        <f>IF(Clean_Table[[#This Row],[Role]]="Sponsor",1,0)</f>
        <v>0</v>
      </c>
      <c r="O329">
        <f>IF(Clean_Table[[#This Row],[Role]]="Attendee",1,0)</f>
        <v>1</v>
      </c>
      <c r="P329">
        <f>IF(Clean_Table[[#This Row],[Empty Cell Check]]="Missing",1,0)</f>
        <v>1</v>
      </c>
    </row>
    <row r="330" spans="1:16">
      <c r="A330" t="s">
        <v>250</v>
      </c>
      <c r="B330" t="s">
        <v>586</v>
      </c>
      <c r="C330" t="s">
        <v>96</v>
      </c>
      <c r="D330" t="s">
        <v>810</v>
      </c>
      <c r="E330" s="2" t="s">
        <v>830</v>
      </c>
      <c r="F330" t="s">
        <v>587</v>
      </c>
      <c r="G330" t="s">
        <v>31</v>
      </c>
      <c r="H330" t="s">
        <v>39</v>
      </c>
      <c r="I33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3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Smithriley.smith65@example.comUnited Kingdom12:00 AM43CNoneAttendee</v>
      </c>
      <c r="K330" t="str">
        <f>IF(COUNTIF(Clean_Table[Temp ID],Clean_Table[[#This Row],[Temp ID]])&gt;1,"Duplicate","Unique")</f>
        <v>Unique</v>
      </c>
      <c r="L330">
        <f>IF(Clean_Table[[#This Row],[Role]]="VIP",1,0)</f>
        <v>0</v>
      </c>
      <c r="M330">
        <f>IF(Clean_Table[[#This Row],[Role]]="Speaker",1,0)</f>
        <v>0</v>
      </c>
      <c r="N330">
        <f>IF(Clean_Table[[#This Row],[Role]]="Sponsor",1,0)</f>
        <v>0</v>
      </c>
      <c r="O330">
        <f>IF(Clean_Table[[#This Row],[Role]]="Attendee",1,0)</f>
        <v>1</v>
      </c>
      <c r="P330">
        <f>IF(Clean_Table[[#This Row],[Empty Cell Check]]="Missing",1,0)</f>
        <v>1</v>
      </c>
    </row>
    <row r="331" spans="1:16">
      <c r="A331" t="s">
        <v>334</v>
      </c>
      <c r="B331" t="s">
        <v>588</v>
      </c>
      <c r="C331" t="s">
        <v>112</v>
      </c>
      <c r="D331" t="s">
        <v>810</v>
      </c>
      <c r="E331" s="2" t="s">
        <v>846</v>
      </c>
      <c r="F331" t="s">
        <v>587</v>
      </c>
      <c r="G331" t="s">
        <v>810</v>
      </c>
      <c r="H331" t="s">
        <v>39</v>
      </c>
      <c r="I33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3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Johnsonjamie.johnson162@example.comNigeria07:00 PM43CAttendee</v>
      </c>
      <c r="K331" t="str">
        <f>IF(COUNTIF(Clean_Table[Temp ID],Clean_Table[[#This Row],[Temp ID]])&gt;1,"Duplicate","Unique")</f>
        <v>Unique</v>
      </c>
      <c r="L331">
        <f>IF(Clean_Table[[#This Row],[Role]]="VIP",1,0)</f>
        <v>0</v>
      </c>
      <c r="M331">
        <f>IF(Clean_Table[[#This Row],[Role]]="Speaker",1,0)</f>
        <v>0</v>
      </c>
      <c r="N331">
        <f>IF(Clean_Table[[#This Row],[Role]]="Sponsor",1,0)</f>
        <v>0</v>
      </c>
      <c r="O331">
        <f>IF(Clean_Table[[#This Row],[Role]]="Attendee",1,0)</f>
        <v>1</v>
      </c>
      <c r="P331">
        <f>IF(Clean_Table[[#This Row],[Empty Cell Check]]="Missing",1,0)</f>
        <v>1</v>
      </c>
    </row>
    <row r="332" spans="1:16">
      <c r="A332" t="s">
        <v>229</v>
      </c>
      <c r="B332" t="s">
        <v>589</v>
      </c>
      <c r="C332" t="s">
        <v>27</v>
      </c>
      <c r="D332" t="s">
        <v>71</v>
      </c>
      <c r="E332" s="2" t="s">
        <v>829</v>
      </c>
      <c r="F332" t="s">
        <v>587</v>
      </c>
      <c r="G332" t="s">
        <v>15</v>
      </c>
      <c r="H332" t="s">
        <v>39</v>
      </c>
      <c r="I33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33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Jordan Wilsonjordan.wilson567@example.comFranceWebinar: AI Ethics10:00 PM43CVegetarianAttendee</v>
      </c>
      <c r="K332" t="str">
        <f>IF(COUNTIF(Clean_Table[Temp ID],Clean_Table[[#This Row],[Temp ID]])&gt;1,"Duplicate","Unique")</f>
        <v>Unique</v>
      </c>
      <c r="L332">
        <f>IF(Clean_Table[[#This Row],[Role]]="VIP",1,0)</f>
        <v>0</v>
      </c>
      <c r="M332">
        <f>IF(Clean_Table[[#This Row],[Role]]="Speaker",1,0)</f>
        <v>0</v>
      </c>
      <c r="N332">
        <f>IF(Clean_Table[[#This Row],[Role]]="Sponsor",1,0)</f>
        <v>0</v>
      </c>
      <c r="O332">
        <f>IF(Clean_Table[[#This Row],[Role]]="Attendee",1,0)</f>
        <v>1</v>
      </c>
      <c r="P332">
        <f>IF(Clean_Table[[#This Row],[Empty Cell Check]]="Missing",1,0)</f>
        <v>0</v>
      </c>
    </row>
    <row r="333" spans="1:16">
      <c r="A333" t="s">
        <v>536</v>
      </c>
      <c r="B333" t="s">
        <v>590</v>
      </c>
      <c r="C333" t="s">
        <v>37</v>
      </c>
      <c r="D333" t="s">
        <v>79</v>
      </c>
      <c r="E333" s="2" t="s">
        <v>838</v>
      </c>
      <c r="F333" t="s">
        <v>587</v>
      </c>
      <c r="G333" t="s">
        <v>52</v>
      </c>
      <c r="H333" t="s">
        <v>39</v>
      </c>
      <c r="I33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33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Chris Brownchris.brown485@example.comCanadaPanel: Women in Tech03:30 PM43CVeganAttendee</v>
      </c>
      <c r="K333" t="str">
        <f>IF(COUNTIF(Clean_Table[Temp ID],Clean_Table[[#This Row],[Temp ID]])&gt;1,"Duplicate","Unique")</f>
        <v>Unique</v>
      </c>
      <c r="L333">
        <f>IF(Clean_Table[[#This Row],[Role]]="VIP",1,0)</f>
        <v>0</v>
      </c>
      <c r="M333">
        <f>IF(Clean_Table[[#This Row],[Role]]="Speaker",1,0)</f>
        <v>0</v>
      </c>
      <c r="N333">
        <f>IF(Clean_Table[[#This Row],[Role]]="Sponsor",1,0)</f>
        <v>0</v>
      </c>
      <c r="O333">
        <f>IF(Clean_Table[[#This Row],[Role]]="Attendee",1,0)</f>
        <v>1</v>
      </c>
      <c r="P333">
        <f>IF(Clean_Table[[#This Row],[Empty Cell Check]]="Missing",1,0)</f>
        <v>0</v>
      </c>
    </row>
    <row r="334" spans="1:16">
      <c r="A334" t="s">
        <v>188</v>
      </c>
      <c r="B334" t="s">
        <v>591</v>
      </c>
      <c r="C334" t="s">
        <v>101</v>
      </c>
      <c r="D334" t="s">
        <v>810</v>
      </c>
      <c r="E334" s="1" t="s">
        <v>831</v>
      </c>
      <c r="F334" t="s">
        <v>587</v>
      </c>
      <c r="G334" t="s">
        <v>31</v>
      </c>
      <c r="H334" t="s">
        <v>39</v>
      </c>
      <c r="I33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3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Alex Lewisalex.lewis2@example.comJapan06:30 PM43CNoneAttendee</v>
      </c>
      <c r="K334" t="str">
        <f>IF(COUNTIF(Clean_Table[Temp ID],Clean_Table[[#This Row],[Temp ID]])&gt;1,"Duplicate","Unique")</f>
        <v>Unique</v>
      </c>
      <c r="L334">
        <f>IF(Clean_Table[[#This Row],[Role]]="VIP",1,0)</f>
        <v>0</v>
      </c>
      <c r="M334">
        <f>IF(Clean_Table[[#This Row],[Role]]="Speaker",1,0)</f>
        <v>0</v>
      </c>
      <c r="N334">
        <f>IF(Clean_Table[[#This Row],[Role]]="Sponsor",1,0)</f>
        <v>0</v>
      </c>
      <c r="O334">
        <f>IF(Clean_Table[[#This Row],[Role]]="Attendee",1,0)</f>
        <v>1</v>
      </c>
      <c r="P334">
        <f>IF(Clean_Table[[#This Row],[Empty Cell Check]]="Missing",1,0)</f>
        <v>1</v>
      </c>
    </row>
    <row r="335" spans="1:16">
      <c r="A335" t="s">
        <v>310</v>
      </c>
      <c r="B335" t="s">
        <v>592</v>
      </c>
      <c r="C335" t="s">
        <v>37</v>
      </c>
      <c r="D335" t="s">
        <v>13</v>
      </c>
      <c r="E335" s="2" t="s">
        <v>854</v>
      </c>
      <c r="F335" t="s">
        <v>587</v>
      </c>
      <c r="G335" t="s">
        <v>15</v>
      </c>
      <c r="H335" t="s">
        <v>39</v>
      </c>
      <c r="I33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33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Jesse Smithjesse.smith635@example.comCanadaTraining: Dashboard Design08:00 AM43CVegetarianAttendee</v>
      </c>
      <c r="K335" t="str">
        <f>IF(COUNTIF(Clean_Table[Temp ID],Clean_Table[[#This Row],[Temp ID]])&gt;1,"Duplicate","Unique")</f>
        <v>Unique</v>
      </c>
      <c r="L335">
        <f>IF(Clean_Table[[#This Row],[Role]]="VIP",1,0)</f>
        <v>0</v>
      </c>
      <c r="M335">
        <f>IF(Clean_Table[[#This Row],[Role]]="Speaker",1,0)</f>
        <v>0</v>
      </c>
      <c r="N335">
        <f>IF(Clean_Table[[#This Row],[Role]]="Sponsor",1,0)</f>
        <v>0</v>
      </c>
      <c r="O335">
        <f>IF(Clean_Table[[#This Row],[Role]]="Attendee",1,0)</f>
        <v>1</v>
      </c>
      <c r="P335">
        <f>IF(Clean_Table[[#This Row],[Empty Cell Check]]="Missing",1,0)</f>
        <v>0</v>
      </c>
    </row>
    <row r="336" spans="1:16">
      <c r="A336" t="s">
        <v>88</v>
      </c>
      <c r="B336" t="s">
        <v>593</v>
      </c>
      <c r="C336" t="s">
        <v>27</v>
      </c>
      <c r="D336" t="s">
        <v>13</v>
      </c>
      <c r="E336" s="2" t="s">
        <v>850</v>
      </c>
      <c r="F336" t="s">
        <v>594</v>
      </c>
      <c r="G336" t="s">
        <v>810</v>
      </c>
      <c r="H336" t="s">
        <v>21</v>
      </c>
      <c r="I33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3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Jordan Lewisjordan.lewis391@example.comFranceTraining: Dashboard Design05:00 PM44ASpeaker</v>
      </c>
      <c r="K336" t="str">
        <f>IF(COUNTIF(Clean_Table[Temp ID],Clean_Table[[#This Row],[Temp ID]])&gt;1,"Duplicate","Unique")</f>
        <v>Unique</v>
      </c>
      <c r="L336">
        <f>IF(Clean_Table[[#This Row],[Role]]="VIP",1,0)</f>
        <v>0</v>
      </c>
      <c r="M336">
        <f>IF(Clean_Table[[#This Row],[Role]]="Speaker",1,0)</f>
        <v>1</v>
      </c>
      <c r="N336">
        <f>IF(Clean_Table[[#This Row],[Role]]="Sponsor",1,0)</f>
        <v>0</v>
      </c>
      <c r="O336">
        <f>IF(Clean_Table[[#This Row],[Role]]="Attendee",1,0)</f>
        <v>0</v>
      </c>
      <c r="P336">
        <f>IF(Clean_Table[[#This Row],[Empty Cell Check]]="Missing",1,0)</f>
        <v>1</v>
      </c>
    </row>
    <row r="337" spans="1:16">
      <c r="A337" t="s">
        <v>211</v>
      </c>
      <c r="B337" t="s">
        <v>595</v>
      </c>
      <c r="C337" t="s">
        <v>112</v>
      </c>
      <c r="D337" t="s">
        <v>71</v>
      </c>
      <c r="E337" s="2" t="s">
        <v>820</v>
      </c>
      <c r="F337" t="s">
        <v>594</v>
      </c>
      <c r="G337" t="s">
        <v>15</v>
      </c>
      <c r="H337" t="s">
        <v>39</v>
      </c>
      <c r="I33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33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Johnsonmorgan.johnson378@example.comNigeriaWebinar: AI Ethics08:00 PM44AVegetarianAttendee</v>
      </c>
      <c r="K337" t="str">
        <f>IF(COUNTIF(Clean_Table[Temp ID],Clean_Table[[#This Row],[Temp ID]])&gt;1,"Duplicate","Unique")</f>
        <v>Unique</v>
      </c>
      <c r="L337">
        <f>IF(Clean_Table[[#This Row],[Role]]="VIP",1,0)</f>
        <v>0</v>
      </c>
      <c r="M337">
        <f>IF(Clean_Table[[#This Row],[Role]]="Speaker",1,0)</f>
        <v>0</v>
      </c>
      <c r="N337">
        <f>IF(Clean_Table[[#This Row],[Role]]="Sponsor",1,0)</f>
        <v>0</v>
      </c>
      <c r="O337">
        <f>IF(Clean_Table[[#This Row],[Role]]="Attendee",1,0)</f>
        <v>1</v>
      </c>
      <c r="P337">
        <f>IF(Clean_Table[[#This Row],[Empty Cell Check]]="Missing",1,0)</f>
        <v>0</v>
      </c>
    </row>
    <row r="338" spans="1:16">
      <c r="A338" t="s">
        <v>114</v>
      </c>
      <c r="B338" t="s">
        <v>596</v>
      </c>
      <c r="C338" t="s">
        <v>68</v>
      </c>
      <c r="D338" t="s">
        <v>71</v>
      </c>
      <c r="E338" s="2" t="s">
        <v>852</v>
      </c>
      <c r="F338" t="s">
        <v>597</v>
      </c>
      <c r="G338" t="s">
        <v>810</v>
      </c>
      <c r="H338" t="s">
        <v>39</v>
      </c>
      <c r="I33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3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Drew Wilsondrew.wilson206@example.comIndiaWebinar: AI Ethics09:30 PM44BAttendee</v>
      </c>
      <c r="K338" t="str">
        <f>IF(COUNTIF(Clean_Table[Temp ID],Clean_Table[[#This Row],[Temp ID]])&gt;1,"Duplicate","Unique")</f>
        <v>Unique</v>
      </c>
      <c r="L338">
        <f>IF(Clean_Table[[#This Row],[Role]]="VIP",1,0)</f>
        <v>0</v>
      </c>
      <c r="M338">
        <f>IF(Clean_Table[[#This Row],[Role]]="Speaker",1,0)</f>
        <v>0</v>
      </c>
      <c r="N338">
        <f>IF(Clean_Table[[#This Row],[Role]]="Sponsor",1,0)</f>
        <v>0</v>
      </c>
      <c r="O338">
        <f>IF(Clean_Table[[#This Row],[Role]]="Attendee",1,0)</f>
        <v>1</v>
      </c>
      <c r="P338">
        <f>IF(Clean_Table[[#This Row],[Empty Cell Check]]="Missing",1,0)</f>
        <v>1</v>
      </c>
    </row>
    <row r="339" spans="1:16">
      <c r="A339" t="s">
        <v>598</v>
      </c>
      <c r="B339" t="s">
        <v>599</v>
      </c>
      <c r="C339" t="s">
        <v>12</v>
      </c>
      <c r="D339" t="s">
        <v>45</v>
      </c>
      <c r="E339" s="1" t="s">
        <v>842</v>
      </c>
      <c r="F339" t="s">
        <v>600</v>
      </c>
      <c r="G339" t="s">
        <v>31</v>
      </c>
      <c r="H339" t="s">
        <v>39</v>
      </c>
      <c r="I33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33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Allenjamie.allen257@example.comUnited StatesKeynote: Future of Data11:00 AM44CNoneAttendee</v>
      </c>
      <c r="K339" t="str">
        <f>IF(COUNTIF(Clean_Table[Temp ID],Clean_Table[[#This Row],[Temp ID]])&gt;1,"Duplicate","Unique")</f>
        <v>Unique</v>
      </c>
      <c r="L339">
        <f>IF(Clean_Table[[#This Row],[Role]]="VIP",1,0)</f>
        <v>0</v>
      </c>
      <c r="M339">
        <f>IF(Clean_Table[[#This Row],[Role]]="Speaker",1,0)</f>
        <v>0</v>
      </c>
      <c r="N339">
        <f>IF(Clean_Table[[#This Row],[Role]]="Sponsor",1,0)</f>
        <v>0</v>
      </c>
      <c r="O339">
        <f>IF(Clean_Table[[#This Row],[Role]]="Attendee",1,0)</f>
        <v>1</v>
      </c>
      <c r="P339">
        <f>IF(Clean_Table[[#This Row],[Empty Cell Check]]="Missing",1,0)</f>
        <v>0</v>
      </c>
    </row>
    <row r="340" spans="1:16">
      <c r="A340" t="s">
        <v>242</v>
      </c>
      <c r="B340" t="s">
        <v>601</v>
      </c>
      <c r="C340" t="s">
        <v>37</v>
      </c>
      <c r="D340" t="s">
        <v>13</v>
      </c>
      <c r="E340" s="2" t="s">
        <v>823</v>
      </c>
      <c r="F340" t="s">
        <v>600</v>
      </c>
      <c r="G340" t="s">
        <v>810</v>
      </c>
      <c r="H340" t="s">
        <v>39</v>
      </c>
      <c r="I34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4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Smithmorgan.smith684@example.comCanadaTraining: Dashboard Design05:30 AM44CAttendee</v>
      </c>
      <c r="K340" t="str">
        <f>IF(COUNTIF(Clean_Table[Temp ID],Clean_Table[[#This Row],[Temp ID]])&gt;1,"Duplicate","Unique")</f>
        <v>Unique</v>
      </c>
      <c r="L340">
        <f>IF(Clean_Table[[#This Row],[Role]]="VIP",1,0)</f>
        <v>0</v>
      </c>
      <c r="M340">
        <f>IF(Clean_Table[[#This Row],[Role]]="Speaker",1,0)</f>
        <v>0</v>
      </c>
      <c r="N340">
        <f>IF(Clean_Table[[#This Row],[Role]]="Sponsor",1,0)</f>
        <v>0</v>
      </c>
      <c r="O340">
        <f>IF(Clean_Table[[#This Row],[Role]]="Attendee",1,0)</f>
        <v>1</v>
      </c>
      <c r="P340">
        <f>IF(Clean_Table[[#This Row],[Empty Cell Check]]="Missing",1,0)</f>
        <v>1</v>
      </c>
    </row>
    <row r="341" spans="1:16">
      <c r="A341" t="s">
        <v>66</v>
      </c>
      <c r="B341" t="s">
        <v>602</v>
      </c>
      <c r="C341" t="s">
        <v>55</v>
      </c>
      <c r="D341" t="s">
        <v>79</v>
      </c>
      <c r="E341" s="2" t="s">
        <v>846</v>
      </c>
      <c r="F341" t="s">
        <v>600</v>
      </c>
      <c r="G341" t="s">
        <v>31</v>
      </c>
      <c r="H341" t="s">
        <v>39</v>
      </c>
      <c r="I34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34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Allencasey.allen117@example.comBrazilPanel: Women in Tech07:00 PM44CNoneAttendee</v>
      </c>
      <c r="K341" t="str">
        <f>IF(COUNTIF(Clean_Table[Temp ID],Clean_Table[[#This Row],[Temp ID]])&gt;1,"Duplicate","Unique")</f>
        <v>Unique</v>
      </c>
      <c r="L341">
        <f>IF(Clean_Table[[#This Row],[Role]]="VIP",1,0)</f>
        <v>0</v>
      </c>
      <c r="M341">
        <f>IF(Clean_Table[[#This Row],[Role]]="Speaker",1,0)</f>
        <v>0</v>
      </c>
      <c r="N341">
        <f>IF(Clean_Table[[#This Row],[Role]]="Sponsor",1,0)</f>
        <v>0</v>
      </c>
      <c r="O341">
        <f>IF(Clean_Table[[#This Row],[Role]]="Attendee",1,0)</f>
        <v>1</v>
      </c>
      <c r="P341">
        <f>IF(Clean_Table[[#This Row],[Empty Cell Check]]="Missing",1,0)</f>
        <v>0</v>
      </c>
    </row>
    <row r="342" spans="1:16">
      <c r="A342" t="s">
        <v>135</v>
      </c>
      <c r="B342" t="s">
        <v>603</v>
      </c>
      <c r="C342" t="s">
        <v>112</v>
      </c>
      <c r="D342" t="s">
        <v>45</v>
      </c>
      <c r="E342" s="1" t="s">
        <v>844</v>
      </c>
      <c r="F342" t="s">
        <v>604</v>
      </c>
      <c r="G342" t="s">
        <v>31</v>
      </c>
      <c r="H342" t="s">
        <v>21</v>
      </c>
      <c r="I34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34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Leemorgan.lee522@example.comNigeriaKeynote: Future of Data02:00 AM44DNoneSpeaker</v>
      </c>
      <c r="K342" t="str">
        <f>IF(COUNTIF(Clean_Table[Temp ID],Clean_Table[[#This Row],[Temp ID]])&gt;1,"Duplicate","Unique")</f>
        <v>Unique</v>
      </c>
      <c r="L342">
        <f>IF(Clean_Table[[#This Row],[Role]]="VIP",1,0)</f>
        <v>0</v>
      </c>
      <c r="M342">
        <f>IF(Clean_Table[[#This Row],[Role]]="Speaker",1,0)</f>
        <v>1</v>
      </c>
      <c r="N342">
        <f>IF(Clean_Table[[#This Row],[Role]]="Sponsor",1,0)</f>
        <v>0</v>
      </c>
      <c r="O342">
        <f>IF(Clean_Table[[#This Row],[Role]]="Attendee",1,0)</f>
        <v>0</v>
      </c>
      <c r="P342">
        <f>IF(Clean_Table[[#This Row],[Empty Cell Check]]="Missing",1,0)</f>
        <v>0</v>
      </c>
    </row>
    <row r="343" spans="1:16">
      <c r="A343" t="s">
        <v>121</v>
      </c>
      <c r="B343" t="s">
        <v>605</v>
      </c>
      <c r="C343" t="s">
        <v>810</v>
      </c>
      <c r="D343" t="s">
        <v>13</v>
      </c>
      <c r="E343" s="2" t="s">
        <v>853</v>
      </c>
      <c r="F343" t="s">
        <v>604</v>
      </c>
      <c r="G343" t="s">
        <v>15</v>
      </c>
      <c r="H343" t="s">
        <v>39</v>
      </c>
      <c r="I34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4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Jesse Lewisjesse.lewis842@example.comTraining: Dashboard Design12:30 AM44DVegetarianAttendee</v>
      </c>
      <c r="K343" t="str">
        <f>IF(COUNTIF(Clean_Table[Temp ID],Clean_Table[[#This Row],[Temp ID]])&gt;1,"Duplicate","Unique")</f>
        <v>Unique</v>
      </c>
      <c r="L343">
        <f>IF(Clean_Table[[#This Row],[Role]]="VIP",1,0)</f>
        <v>0</v>
      </c>
      <c r="M343">
        <f>IF(Clean_Table[[#This Row],[Role]]="Speaker",1,0)</f>
        <v>0</v>
      </c>
      <c r="N343">
        <f>IF(Clean_Table[[#This Row],[Role]]="Sponsor",1,0)</f>
        <v>0</v>
      </c>
      <c r="O343">
        <f>IF(Clean_Table[[#This Row],[Role]]="Attendee",1,0)</f>
        <v>1</v>
      </c>
      <c r="P343">
        <f>IF(Clean_Table[[#This Row],[Empty Cell Check]]="Missing",1,0)</f>
        <v>1</v>
      </c>
    </row>
    <row r="344" spans="1:16">
      <c r="A344" t="s">
        <v>313</v>
      </c>
      <c r="B344" t="s">
        <v>606</v>
      </c>
      <c r="C344" t="s">
        <v>78</v>
      </c>
      <c r="D344" t="s">
        <v>79</v>
      </c>
      <c r="E344" s="2" t="s">
        <v>842</v>
      </c>
      <c r="F344" t="s">
        <v>604</v>
      </c>
      <c r="G344" t="s">
        <v>52</v>
      </c>
      <c r="H344" t="s">
        <v>39</v>
      </c>
      <c r="I34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34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Browncasey.brown321@example.comAustraliaPanel: Women in Tech11:00 AM44DVeganAttendee</v>
      </c>
      <c r="K344" t="str">
        <f>IF(COUNTIF(Clean_Table[Temp ID],Clean_Table[[#This Row],[Temp ID]])&gt;1,"Duplicate","Unique")</f>
        <v>Unique</v>
      </c>
      <c r="L344">
        <f>IF(Clean_Table[[#This Row],[Role]]="VIP",1,0)</f>
        <v>0</v>
      </c>
      <c r="M344">
        <f>IF(Clean_Table[[#This Row],[Role]]="Speaker",1,0)</f>
        <v>0</v>
      </c>
      <c r="N344">
        <f>IF(Clean_Table[[#This Row],[Role]]="Sponsor",1,0)</f>
        <v>0</v>
      </c>
      <c r="O344">
        <f>IF(Clean_Table[[#This Row],[Role]]="Attendee",1,0)</f>
        <v>1</v>
      </c>
      <c r="P344">
        <f>IF(Clean_Table[[#This Row],[Empty Cell Check]]="Missing",1,0)</f>
        <v>0</v>
      </c>
    </row>
    <row r="345" spans="1:16">
      <c r="A345" t="s">
        <v>242</v>
      </c>
      <c r="B345" t="s">
        <v>607</v>
      </c>
      <c r="C345" t="s">
        <v>55</v>
      </c>
      <c r="D345" t="s">
        <v>810</v>
      </c>
      <c r="E345" s="2" t="s">
        <v>851</v>
      </c>
      <c r="F345" t="s">
        <v>608</v>
      </c>
      <c r="G345" t="s">
        <v>52</v>
      </c>
      <c r="H345" t="s">
        <v>39</v>
      </c>
      <c r="I34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4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Smithmorgan.smith350@example.comBrazil05:30 PM45AVeganAttendee</v>
      </c>
      <c r="K345" t="str">
        <f>IF(COUNTIF(Clean_Table[Temp ID],Clean_Table[[#This Row],[Temp ID]])&gt;1,"Duplicate","Unique")</f>
        <v>Unique</v>
      </c>
      <c r="L345">
        <f>IF(Clean_Table[[#This Row],[Role]]="VIP",1,0)</f>
        <v>0</v>
      </c>
      <c r="M345">
        <f>IF(Clean_Table[[#This Row],[Role]]="Speaker",1,0)</f>
        <v>0</v>
      </c>
      <c r="N345">
        <f>IF(Clean_Table[[#This Row],[Role]]="Sponsor",1,0)</f>
        <v>0</v>
      </c>
      <c r="O345">
        <f>IF(Clean_Table[[#This Row],[Role]]="Attendee",1,0)</f>
        <v>1</v>
      </c>
      <c r="P345">
        <f>IF(Clean_Table[[#This Row],[Empty Cell Check]]="Missing",1,0)</f>
        <v>1</v>
      </c>
    </row>
    <row r="346" spans="1:16">
      <c r="A346" t="s">
        <v>237</v>
      </c>
      <c r="B346" t="s">
        <v>609</v>
      </c>
      <c r="C346" t="s">
        <v>68</v>
      </c>
      <c r="D346" t="s">
        <v>810</v>
      </c>
      <c r="E346" s="2" t="s">
        <v>817</v>
      </c>
      <c r="F346" t="s">
        <v>608</v>
      </c>
      <c r="G346" t="s">
        <v>28</v>
      </c>
      <c r="H346" t="s">
        <v>39</v>
      </c>
      <c r="I34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4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Jesse Halljesse.hall886@example.comIndia07:30 AM45AKosherAttendee</v>
      </c>
      <c r="K346" t="str">
        <f>IF(COUNTIF(Clean_Table[Temp ID],Clean_Table[[#This Row],[Temp ID]])&gt;1,"Duplicate","Unique")</f>
        <v>Unique</v>
      </c>
      <c r="L346">
        <f>IF(Clean_Table[[#This Row],[Role]]="VIP",1,0)</f>
        <v>0</v>
      </c>
      <c r="M346">
        <f>IF(Clean_Table[[#This Row],[Role]]="Speaker",1,0)</f>
        <v>0</v>
      </c>
      <c r="N346">
        <f>IF(Clean_Table[[#This Row],[Role]]="Sponsor",1,0)</f>
        <v>0</v>
      </c>
      <c r="O346">
        <f>IF(Clean_Table[[#This Row],[Role]]="Attendee",1,0)</f>
        <v>1</v>
      </c>
      <c r="P346">
        <f>IF(Clean_Table[[#This Row],[Empty Cell Check]]="Missing",1,0)</f>
        <v>1</v>
      </c>
    </row>
    <row r="347" spans="1:16">
      <c r="A347" t="s">
        <v>133</v>
      </c>
      <c r="B347" t="s">
        <v>610</v>
      </c>
      <c r="C347" t="s">
        <v>12</v>
      </c>
      <c r="D347" t="s">
        <v>45</v>
      </c>
      <c r="E347" s="2" t="s">
        <v>817</v>
      </c>
      <c r="F347" t="s">
        <v>611</v>
      </c>
      <c r="G347" t="s">
        <v>91</v>
      </c>
      <c r="H347" t="s">
        <v>39</v>
      </c>
      <c r="I34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34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Walkerriley.walker459@example.comUnited StatesKeynote: Future of Data07:30 AM45BHalalAttendee</v>
      </c>
      <c r="K347" t="str">
        <f>IF(COUNTIF(Clean_Table[Temp ID],Clean_Table[[#This Row],[Temp ID]])&gt;1,"Duplicate","Unique")</f>
        <v>Unique</v>
      </c>
      <c r="L347">
        <f>IF(Clean_Table[[#This Row],[Role]]="VIP",1,0)</f>
        <v>0</v>
      </c>
      <c r="M347">
        <f>IF(Clean_Table[[#This Row],[Role]]="Speaker",1,0)</f>
        <v>0</v>
      </c>
      <c r="N347">
        <f>IF(Clean_Table[[#This Row],[Role]]="Sponsor",1,0)</f>
        <v>0</v>
      </c>
      <c r="O347">
        <f>IF(Clean_Table[[#This Row],[Role]]="Attendee",1,0)</f>
        <v>1</v>
      </c>
      <c r="P347">
        <f>IF(Clean_Table[[#This Row],[Empty Cell Check]]="Missing",1,0)</f>
        <v>0</v>
      </c>
    </row>
    <row r="348" spans="1:16">
      <c r="A348" t="s">
        <v>83</v>
      </c>
      <c r="B348" t="s">
        <v>612</v>
      </c>
      <c r="C348" t="s">
        <v>34</v>
      </c>
      <c r="D348" t="s">
        <v>50</v>
      </c>
      <c r="E348" s="2" t="s">
        <v>847</v>
      </c>
      <c r="F348" t="s">
        <v>613</v>
      </c>
      <c r="G348" t="s">
        <v>810</v>
      </c>
      <c r="H348" t="s">
        <v>39</v>
      </c>
      <c r="I34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4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Chris Walkerchris.walker825@example.comGermanyWorkshop: Excel Mastery07:30 PM45CAttendee</v>
      </c>
      <c r="K348" t="str">
        <f>IF(COUNTIF(Clean_Table[Temp ID],Clean_Table[[#This Row],[Temp ID]])&gt;1,"Duplicate","Unique")</f>
        <v>Unique</v>
      </c>
      <c r="L348">
        <f>IF(Clean_Table[[#This Row],[Role]]="VIP",1,0)</f>
        <v>0</v>
      </c>
      <c r="M348">
        <f>IF(Clean_Table[[#This Row],[Role]]="Speaker",1,0)</f>
        <v>0</v>
      </c>
      <c r="N348">
        <f>IF(Clean_Table[[#This Row],[Role]]="Sponsor",1,0)</f>
        <v>0</v>
      </c>
      <c r="O348">
        <f>IF(Clean_Table[[#This Row],[Role]]="Attendee",1,0)</f>
        <v>1</v>
      </c>
      <c r="P348">
        <f>IF(Clean_Table[[#This Row],[Empty Cell Check]]="Missing",1,0)</f>
        <v>1</v>
      </c>
    </row>
    <row r="349" spans="1:16">
      <c r="A349" t="s">
        <v>190</v>
      </c>
      <c r="B349" t="s">
        <v>614</v>
      </c>
      <c r="C349" t="s">
        <v>78</v>
      </c>
      <c r="D349" t="s">
        <v>45</v>
      </c>
      <c r="E349" s="2" t="s">
        <v>823</v>
      </c>
      <c r="F349" t="s">
        <v>613</v>
      </c>
      <c r="G349" t="s">
        <v>52</v>
      </c>
      <c r="H349" t="s">
        <v>39</v>
      </c>
      <c r="I34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34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Johnsoncasey.johnson118@example.comAustraliaKeynote: Future of Data05:30 AM45CVeganAttendee</v>
      </c>
      <c r="K349" t="str">
        <f>IF(COUNTIF(Clean_Table[Temp ID],Clean_Table[[#This Row],[Temp ID]])&gt;1,"Duplicate","Unique")</f>
        <v>Unique</v>
      </c>
      <c r="L349">
        <f>IF(Clean_Table[[#This Row],[Role]]="VIP",1,0)</f>
        <v>0</v>
      </c>
      <c r="M349">
        <f>IF(Clean_Table[[#This Row],[Role]]="Speaker",1,0)</f>
        <v>0</v>
      </c>
      <c r="N349">
        <f>IF(Clean_Table[[#This Row],[Role]]="Sponsor",1,0)</f>
        <v>0</v>
      </c>
      <c r="O349">
        <f>IF(Clean_Table[[#This Row],[Role]]="Attendee",1,0)</f>
        <v>1</v>
      </c>
      <c r="P349">
        <f>IF(Clean_Table[[#This Row],[Empty Cell Check]]="Missing",1,0)</f>
        <v>0</v>
      </c>
    </row>
    <row r="350" spans="1:16">
      <c r="A350" t="s">
        <v>53</v>
      </c>
      <c r="B350" t="s">
        <v>615</v>
      </c>
      <c r="C350" t="s">
        <v>78</v>
      </c>
      <c r="D350" t="s">
        <v>71</v>
      </c>
      <c r="E350" s="2" t="s">
        <v>831</v>
      </c>
      <c r="F350" t="s">
        <v>613</v>
      </c>
      <c r="G350" t="s">
        <v>52</v>
      </c>
      <c r="H350" t="s">
        <v>39</v>
      </c>
      <c r="I35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35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Brownriley.brown243@example.comAustraliaWebinar: AI Ethics06:30 PM45CVeganAttendee</v>
      </c>
      <c r="K350" t="str">
        <f>IF(COUNTIF(Clean_Table[Temp ID],Clean_Table[[#This Row],[Temp ID]])&gt;1,"Duplicate","Unique")</f>
        <v>Unique</v>
      </c>
      <c r="L350">
        <f>IF(Clean_Table[[#This Row],[Role]]="VIP",1,0)</f>
        <v>0</v>
      </c>
      <c r="M350">
        <f>IF(Clean_Table[[#This Row],[Role]]="Speaker",1,0)</f>
        <v>0</v>
      </c>
      <c r="N350">
        <f>IF(Clean_Table[[#This Row],[Role]]="Sponsor",1,0)</f>
        <v>0</v>
      </c>
      <c r="O350">
        <f>IF(Clean_Table[[#This Row],[Role]]="Attendee",1,0)</f>
        <v>1</v>
      </c>
      <c r="P350">
        <f>IF(Clean_Table[[#This Row],[Empty Cell Check]]="Missing",1,0)</f>
        <v>0</v>
      </c>
    </row>
    <row r="351" spans="1:16">
      <c r="A351" t="s">
        <v>211</v>
      </c>
      <c r="B351" t="s">
        <v>616</v>
      </c>
      <c r="C351" t="s">
        <v>96</v>
      </c>
      <c r="D351" t="s">
        <v>50</v>
      </c>
      <c r="E351" s="2" t="s">
        <v>839</v>
      </c>
      <c r="F351" t="s">
        <v>617</v>
      </c>
      <c r="G351" t="s">
        <v>91</v>
      </c>
      <c r="H351" t="s">
        <v>39</v>
      </c>
      <c r="I35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35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Johnsonmorgan.johnson572@example.comUnited KingdomWorkshop: Excel Mastery09:00 AM45DHalalAttendee</v>
      </c>
      <c r="K351" t="str">
        <f>IF(COUNTIF(Clean_Table[Temp ID],Clean_Table[[#This Row],[Temp ID]])&gt;1,"Duplicate","Unique")</f>
        <v>Unique</v>
      </c>
      <c r="L351">
        <f>IF(Clean_Table[[#This Row],[Role]]="VIP",1,0)</f>
        <v>0</v>
      </c>
      <c r="M351">
        <f>IF(Clean_Table[[#This Row],[Role]]="Speaker",1,0)</f>
        <v>0</v>
      </c>
      <c r="N351">
        <f>IF(Clean_Table[[#This Row],[Role]]="Sponsor",1,0)</f>
        <v>0</v>
      </c>
      <c r="O351">
        <f>IF(Clean_Table[[#This Row],[Role]]="Attendee",1,0)</f>
        <v>1</v>
      </c>
      <c r="P351">
        <f>IF(Clean_Table[[#This Row],[Empty Cell Check]]="Missing",1,0)</f>
        <v>0</v>
      </c>
    </row>
    <row r="352" spans="1:16">
      <c r="A352" t="s">
        <v>368</v>
      </c>
      <c r="B352" t="s">
        <v>618</v>
      </c>
      <c r="C352" t="s">
        <v>37</v>
      </c>
      <c r="D352" t="s">
        <v>71</v>
      </c>
      <c r="E352" s="1" t="s">
        <v>822</v>
      </c>
      <c r="F352" t="s">
        <v>617</v>
      </c>
      <c r="G352" t="s">
        <v>91</v>
      </c>
      <c r="H352" t="s">
        <v>39</v>
      </c>
      <c r="I35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35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Clarkcasey.clark580@example.comCanadaWebinar: AI Ethics04:00 AM45DHalalAttendee</v>
      </c>
      <c r="K352" t="str">
        <f>IF(COUNTIF(Clean_Table[Temp ID],Clean_Table[[#This Row],[Temp ID]])&gt;1,"Duplicate","Unique")</f>
        <v>Unique</v>
      </c>
      <c r="L352">
        <f>IF(Clean_Table[[#This Row],[Role]]="VIP",1,0)</f>
        <v>0</v>
      </c>
      <c r="M352">
        <f>IF(Clean_Table[[#This Row],[Role]]="Speaker",1,0)</f>
        <v>0</v>
      </c>
      <c r="N352">
        <f>IF(Clean_Table[[#This Row],[Role]]="Sponsor",1,0)</f>
        <v>0</v>
      </c>
      <c r="O352">
        <f>IF(Clean_Table[[#This Row],[Role]]="Attendee",1,0)</f>
        <v>1</v>
      </c>
      <c r="P352">
        <f>IF(Clean_Table[[#This Row],[Empty Cell Check]]="Missing",1,0)</f>
        <v>0</v>
      </c>
    </row>
    <row r="353" spans="1:16">
      <c r="A353" t="s">
        <v>619</v>
      </c>
      <c r="B353" t="s">
        <v>620</v>
      </c>
      <c r="C353" t="s">
        <v>96</v>
      </c>
      <c r="D353" t="s">
        <v>45</v>
      </c>
      <c r="E353" s="2" t="s">
        <v>842</v>
      </c>
      <c r="F353" t="s">
        <v>621</v>
      </c>
      <c r="G353" t="s">
        <v>91</v>
      </c>
      <c r="H353" t="s">
        <v>39</v>
      </c>
      <c r="I35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35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Allenmorgan.allen142@example.comUnited KingdomKeynote: Future of Data11:00 AM46AHalalAttendee</v>
      </c>
      <c r="K353" t="str">
        <f>IF(COUNTIF(Clean_Table[Temp ID],Clean_Table[[#This Row],[Temp ID]])&gt;1,"Duplicate","Unique")</f>
        <v>Unique</v>
      </c>
      <c r="L353">
        <f>IF(Clean_Table[[#This Row],[Role]]="VIP",1,0)</f>
        <v>0</v>
      </c>
      <c r="M353">
        <f>IF(Clean_Table[[#This Row],[Role]]="Speaker",1,0)</f>
        <v>0</v>
      </c>
      <c r="N353">
        <f>IF(Clean_Table[[#This Row],[Role]]="Sponsor",1,0)</f>
        <v>0</v>
      </c>
      <c r="O353">
        <f>IF(Clean_Table[[#This Row],[Role]]="Attendee",1,0)</f>
        <v>1</v>
      </c>
      <c r="P353">
        <f>IF(Clean_Table[[#This Row],[Empty Cell Check]]="Missing",1,0)</f>
        <v>0</v>
      </c>
    </row>
    <row r="354" spans="1:16">
      <c r="A354" t="s">
        <v>88</v>
      </c>
      <c r="B354" t="s">
        <v>622</v>
      </c>
      <c r="C354" t="s">
        <v>101</v>
      </c>
      <c r="D354" t="s">
        <v>79</v>
      </c>
      <c r="E354" s="2" t="s">
        <v>824</v>
      </c>
      <c r="F354" t="s">
        <v>621</v>
      </c>
      <c r="G354" t="s">
        <v>52</v>
      </c>
      <c r="H354" t="s">
        <v>21</v>
      </c>
      <c r="I35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35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Jordan Lewisjordan.lewis81@example.comJapanPanel: Women in Tech06:00 PM46AVeganSpeaker</v>
      </c>
      <c r="K354" t="str">
        <f>IF(COUNTIF(Clean_Table[Temp ID],Clean_Table[[#This Row],[Temp ID]])&gt;1,"Duplicate","Unique")</f>
        <v>Unique</v>
      </c>
      <c r="L354">
        <f>IF(Clean_Table[[#This Row],[Role]]="VIP",1,0)</f>
        <v>0</v>
      </c>
      <c r="M354">
        <f>IF(Clean_Table[[#This Row],[Role]]="Speaker",1,0)</f>
        <v>1</v>
      </c>
      <c r="N354">
        <f>IF(Clean_Table[[#This Row],[Role]]="Sponsor",1,0)</f>
        <v>0</v>
      </c>
      <c r="O354">
        <f>IF(Clean_Table[[#This Row],[Role]]="Attendee",1,0)</f>
        <v>0</v>
      </c>
      <c r="P354">
        <f>IF(Clean_Table[[#This Row],[Empty Cell Check]]="Missing",1,0)</f>
        <v>0</v>
      </c>
    </row>
    <row r="355" spans="1:16">
      <c r="A355" t="s">
        <v>48</v>
      </c>
      <c r="B355" t="s">
        <v>623</v>
      </c>
      <c r="C355" t="s">
        <v>37</v>
      </c>
      <c r="D355" t="s">
        <v>71</v>
      </c>
      <c r="E355" s="2" t="s">
        <v>839</v>
      </c>
      <c r="F355" t="s">
        <v>624</v>
      </c>
      <c r="G355" t="s">
        <v>810</v>
      </c>
      <c r="H355" t="s">
        <v>39</v>
      </c>
      <c r="I35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5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Clarkjamie.clark727@example.comCanadaWebinar: AI Ethics09:00 AM46BAttendee</v>
      </c>
      <c r="K355" t="str">
        <f>IF(COUNTIF(Clean_Table[Temp ID],Clean_Table[[#This Row],[Temp ID]])&gt;1,"Duplicate","Unique")</f>
        <v>Unique</v>
      </c>
      <c r="L355">
        <f>IF(Clean_Table[[#This Row],[Role]]="VIP",1,0)</f>
        <v>0</v>
      </c>
      <c r="M355">
        <f>IF(Clean_Table[[#This Row],[Role]]="Speaker",1,0)</f>
        <v>0</v>
      </c>
      <c r="N355">
        <f>IF(Clean_Table[[#This Row],[Role]]="Sponsor",1,0)</f>
        <v>0</v>
      </c>
      <c r="O355">
        <f>IF(Clean_Table[[#This Row],[Role]]="Attendee",1,0)</f>
        <v>1</v>
      </c>
      <c r="P355">
        <f>IF(Clean_Table[[#This Row],[Empty Cell Check]]="Missing",1,0)</f>
        <v>1</v>
      </c>
    </row>
    <row r="356" spans="1:16">
      <c r="A356" t="s">
        <v>173</v>
      </c>
      <c r="B356" t="s">
        <v>625</v>
      </c>
      <c r="C356" t="s">
        <v>68</v>
      </c>
      <c r="D356" t="s">
        <v>810</v>
      </c>
      <c r="E356" s="2" t="s">
        <v>822</v>
      </c>
      <c r="F356" t="s">
        <v>624</v>
      </c>
      <c r="G356" t="s">
        <v>91</v>
      </c>
      <c r="H356" t="s">
        <v>39</v>
      </c>
      <c r="I35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5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Chris Allenchris.allen42@example.comIndia04:00 AM46BHalalAttendee</v>
      </c>
      <c r="K356" t="str">
        <f>IF(COUNTIF(Clean_Table[Temp ID],Clean_Table[[#This Row],[Temp ID]])&gt;1,"Duplicate","Unique")</f>
        <v>Unique</v>
      </c>
      <c r="L356">
        <f>IF(Clean_Table[[#This Row],[Role]]="VIP",1,0)</f>
        <v>0</v>
      </c>
      <c r="M356">
        <f>IF(Clean_Table[[#This Row],[Role]]="Speaker",1,0)</f>
        <v>0</v>
      </c>
      <c r="N356">
        <f>IF(Clean_Table[[#This Row],[Role]]="Sponsor",1,0)</f>
        <v>0</v>
      </c>
      <c r="O356">
        <f>IF(Clean_Table[[#This Row],[Role]]="Attendee",1,0)</f>
        <v>1</v>
      </c>
      <c r="P356">
        <f>IF(Clean_Table[[#This Row],[Empty Cell Check]]="Missing",1,0)</f>
        <v>1</v>
      </c>
    </row>
    <row r="357" spans="1:16">
      <c r="A357" t="s">
        <v>88</v>
      </c>
      <c r="B357" t="s">
        <v>626</v>
      </c>
      <c r="C357" t="s">
        <v>112</v>
      </c>
      <c r="D357" t="s">
        <v>71</v>
      </c>
      <c r="E357" s="1" t="s">
        <v>850</v>
      </c>
      <c r="F357" t="s">
        <v>624</v>
      </c>
      <c r="G357" t="s">
        <v>810</v>
      </c>
      <c r="H357" t="s">
        <v>39</v>
      </c>
      <c r="I35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5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Jordan Lewisjordan.lewis119@example.comNigeriaWebinar: AI Ethics05:00 PM46BAttendee</v>
      </c>
      <c r="K357" t="str">
        <f>IF(COUNTIF(Clean_Table[Temp ID],Clean_Table[[#This Row],[Temp ID]])&gt;1,"Duplicate","Unique")</f>
        <v>Unique</v>
      </c>
      <c r="L357">
        <f>IF(Clean_Table[[#This Row],[Role]]="VIP",1,0)</f>
        <v>0</v>
      </c>
      <c r="M357">
        <f>IF(Clean_Table[[#This Row],[Role]]="Speaker",1,0)</f>
        <v>0</v>
      </c>
      <c r="N357">
        <f>IF(Clean_Table[[#This Row],[Role]]="Sponsor",1,0)</f>
        <v>0</v>
      </c>
      <c r="O357">
        <f>IF(Clean_Table[[#This Row],[Role]]="Attendee",1,0)</f>
        <v>1</v>
      </c>
      <c r="P357">
        <f>IF(Clean_Table[[#This Row],[Empty Cell Check]]="Missing",1,0)</f>
        <v>1</v>
      </c>
    </row>
    <row r="358" spans="1:16">
      <c r="A358" t="s">
        <v>110</v>
      </c>
      <c r="B358" t="s">
        <v>627</v>
      </c>
      <c r="C358" t="s">
        <v>37</v>
      </c>
      <c r="D358" t="s">
        <v>45</v>
      </c>
      <c r="E358" s="1" t="s">
        <v>823</v>
      </c>
      <c r="F358" t="s">
        <v>628</v>
      </c>
      <c r="G358" t="s">
        <v>15</v>
      </c>
      <c r="H358" t="s">
        <v>39</v>
      </c>
      <c r="I35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35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Jordan Leejordan.lee271@example.comCanadaKeynote: Future of Data05:30 AM46CVegetarianAttendee</v>
      </c>
      <c r="K358" t="str">
        <f>IF(COUNTIF(Clean_Table[Temp ID],Clean_Table[[#This Row],[Temp ID]])&gt;1,"Duplicate","Unique")</f>
        <v>Unique</v>
      </c>
      <c r="L358">
        <f>IF(Clean_Table[[#This Row],[Role]]="VIP",1,0)</f>
        <v>0</v>
      </c>
      <c r="M358">
        <f>IF(Clean_Table[[#This Row],[Role]]="Speaker",1,0)</f>
        <v>0</v>
      </c>
      <c r="N358">
        <f>IF(Clean_Table[[#This Row],[Role]]="Sponsor",1,0)</f>
        <v>0</v>
      </c>
      <c r="O358">
        <f>IF(Clean_Table[[#This Row],[Role]]="Attendee",1,0)</f>
        <v>1</v>
      </c>
      <c r="P358">
        <f>IF(Clean_Table[[#This Row],[Empty Cell Check]]="Missing",1,0)</f>
        <v>0</v>
      </c>
    </row>
    <row r="359" spans="1:16">
      <c r="A359" t="s">
        <v>159</v>
      </c>
      <c r="B359" t="s">
        <v>629</v>
      </c>
      <c r="C359" t="s">
        <v>96</v>
      </c>
      <c r="D359" t="s">
        <v>71</v>
      </c>
      <c r="E359" s="2" t="s">
        <v>856</v>
      </c>
      <c r="F359" t="s">
        <v>628</v>
      </c>
      <c r="G359" t="s">
        <v>28</v>
      </c>
      <c r="H359" t="s">
        <v>39</v>
      </c>
      <c r="I35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35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Hallriley.hall170@example.comUnited KingdomWebinar: AI Ethics06:00 AM46CKosherAttendee</v>
      </c>
      <c r="K359" t="str">
        <f>IF(COUNTIF(Clean_Table[Temp ID],Clean_Table[[#This Row],[Temp ID]])&gt;1,"Duplicate","Unique")</f>
        <v>Unique</v>
      </c>
      <c r="L359">
        <f>IF(Clean_Table[[#This Row],[Role]]="VIP",1,0)</f>
        <v>0</v>
      </c>
      <c r="M359">
        <f>IF(Clean_Table[[#This Row],[Role]]="Speaker",1,0)</f>
        <v>0</v>
      </c>
      <c r="N359">
        <f>IF(Clean_Table[[#This Row],[Role]]="Sponsor",1,0)</f>
        <v>0</v>
      </c>
      <c r="O359">
        <f>IF(Clean_Table[[#This Row],[Role]]="Attendee",1,0)</f>
        <v>1</v>
      </c>
      <c r="P359">
        <f>IF(Clean_Table[[#This Row],[Empty Cell Check]]="Missing",1,0)</f>
        <v>0</v>
      </c>
    </row>
    <row r="360" spans="1:16">
      <c r="A360" t="s">
        <v>396</v>
      </c>
      <c r="B360" t="s">
        <v>630</v>
      </c>
      <c r="C360" t="s">
        <v>96</v>
      </c>
      <c r="D360" t="s">
        <v>50</v>
      </c>
      <c r="E360" s="2" t="s">
        <v>857</v>
      </c>
      <c r="F360" t="s">
        <v>631</v>
      </c>
      <c r="G360" t="s">
        <v>810</v>
      </c>
      <c r="H360" t="s">
        <v>39</v>
      </c>
      <c r="I36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6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Leeriley.lee649@example.comUnited KingdomWorkshop: Excel Mastery09:00 PM46DAttendee</v>
      </c>
      <c r="K360" t="str">
        <f>IF(COUNTIF(Clean_Table[Temp ID],Clean_Table[[#This Row],[Temp ID]])&gt;1,"Duplicate","Unique")</f>
        <v>Unique</v>
      </c>
      <c r="L360">
        <f>IF(Clean_Table[[#This Row],[Role]]="VIP",1,0)</f>
        <v>0</v>
      </c>
      <c r="M360">
        <f>IF(Clean_Table[[#This Row],[Role]]="Speaker",1,0)</f>
        <v>0</v>
      </c>
      <c r="N360">
        <f>IF(Clean_Table[[#This Row],[Role]]="Sponsor",1,0)</f>
        <v>0</v>
      </c>
      <c r="O360">
        <f>IF(Clean_Table[[#This Row],[Role]]="Attendee",1,0)</f>
        <v>1</v>
      </c>
      <c r="P360">
        <f>IF(Clean_Table[[#This Row],[Empty Cell Check]]="Missing",1,0)</f>
        <v>1</v>
      </c>
    </row>
    <row r="361" spans="1:16">
      <c r="A361" t="s">
        <v>632</v>
      </c>
      <c r="B361" t="s">
        <v>633</v>
      </c>
      <c r="C361" t="s">
        <v>37</v>
      </c>
      <c r="D361" t="s">
        <v>50</v>
      </c>
      <c r="E361" s="1" t="s">
        <v>839</v>
      </c>
      <c r="F361" t="s">
        <v>631</v>
      </c>
      <c r="G361" t="s">
        <v>15</v>
      </c>
      <c r="H361" t="s">
        <v>21</v>
      </c>
      <c r="I36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36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Smithcasey.smith31@example.comCanadaWorkshop: Excel Mastery09:00 AM46DVegetarianSpeaker</v>
      </c>
      <c r="K361" t="str">
        <f>IF(COUNTIF(Clean_Table[Temp ID],Clean_Table[[#This Row],[Temp ID]])&gt;1,"Duplicate","Unique")</f>
        <v>Unique</v>
      </c>
      <c r="L361">
        <f>IF(Clean_Table[[#This Row],[Role]]="VIP",1,0)</f>
        <v>0</v>
      </c>
      <c r="M361">
        <f>IF(Clean_Table[[#This Row],[Role]]="Speaker",1,0)</f>
        <v>1</v>
      </c>
      <c r="N361">
        <f>IF(Clean_Table[[#This Row],[Role]]="Sponsor",1,0)</f>
        <v>0</v>
      </c>
      <c r="O361">
        <f>IF(Clean_Table[[#This Row],[Role]]="Attendee",1,0)</f>
        <v>0</v>
      </c>
      <c r="P361">
        <f>IF(Clean_Table[[#This Row],[Empty Cell Check]]="Missing",1,0)</f>
        <v>0</v>
      </c>
    </row>
    <row r="362" spans="1:16">
      <c r="A362" t="s">
        <v>155</v>
      </c>
      <c r="B362" t="s">
        <v>634</v>
      </c>
      <c r="C362" t="s">
        <v>112</v>
      </c>
      <c r="D362" t="s">
        <v>79</v>
      </c>
      <c r="E362" s="1" t="s">
        <v>834</v>
      </c>
      <c r="F362" t="s">
        <v>635</v>
      </c>
      <c r="G362" t="s">
        <v>52</v>
      </c>
      <c r="H362" t="s">
        <v>39</v>
      </c>
      <c r="I36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36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Wilsoncasey.wilson254@example.comNigeriaPanel: Women in Tech05:00 AM47AVeganAttendee</v>
      </c>
      <c r="K362" t="str">
        <f>IF(COUNTIF(Clean_Table[Temp ID],Clean_Table[[#This Row],[Temp ID]])&gt;1,"Duplicate","Unique")</f>
        <v>Unique</v>
      </c>
      <c r="L362">
        <f>IF(Clean_Table[[#This Row],[Role]]="VIP",1,0)</f>
        <v>0</v>
      </c>
      <c r="M362">
        <f>IF(Clean_Table[[#This Row],[Role]]="Speaker",1,0)</f>
        <v>0</v>
      </c>
      <c r="N362">
        <f>IF(Clean_Table[[#This Row],[Role]]="Sponsor",1,0)</f>
        <v>0</v>
      </c>
      <c r="O362">
        <f>IF(Clean_Table[[#This Row],[Role]]="Attendee",1,0)</f>
        <v>1</v>
      </c>
      <c r="P362">
        <f>IF(Clean_Table[[#This Row],[Empty Cell Check]]="Missing",1,0)</f>
        <v>0</v>
      </c>
    </row>
    <row r="363" spans="1:16">
      <c r="A363" t="s">
        <v>76</v>
      </c>
      <c r="B363" t="s">
        <v>636</v>
      </c>
      <c r="C363" t="s">
        <v>810</v>
      </c>
      <c r="D363" t="s">
        <v>45</v>
      </c>
      <c r="E363" s="1" t="s">
        <v>842</v>
      </c>
      <c r="F363" t="s">
        <v>635</v>
      </c>
      <c r="G363" t="s">
        <v>15</v>
      </c>
      <c r="H363" t="s">
        <v>39</v>
      </c>
      <c r="I36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6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Chris Clarkchris.clark293@example.comKeynote: Future of Data11:00 AM47AVegetarianAttendee</v>
      </c>
      <c r="K363" t="str">
        <f>IF(COUNTIF(Clean_Table[Temp ID],Clean_Table[[#This Row],[Temp ID]])&gt;1,"Duplicate","Unique")</f>
        <v>Unique</v>
      </c>
      <c r="L363">
        <f>IF(Clean_Table[[#This Row],[Role]]="VIP",1,0)</f>
        <v>0</v>
      </c>
      <c r="M363">
        <f>IF(Clean_Table[[#This Row],[Role]]="Speaker",1,0)</f>
        <v>0</v>
      </c>
      <c r="N363">
        <f>IF(Clean_Table[[#This Row],[Role]]="Sponsor",1,0)</f>
        <v>0</v>
      </c>
      <c r="O363">
        <f>IF(Clean_Table[[#This Row],[Role]]="Attendee",1,0)</f>
        <v>1</v>
      </c>
      <c r="P363">
        <f>IF(Clean_Table[[#This Row],[Empty Cell Check]]="Missing",1,0)</f>
        <v>1</v>
      </c>
    </row>
    <row r="364" spans="1:16">
      <c r="A364" t="s">
        <v>92</v>
      </c>
      <c r="B364" t="s">
        <v>637</v>
      </c>
      <c r="C364" t="s">
        <v>78</v>
      </c>
      <c r="D364" t="s">
        <v>79</v>
      </c>
      <c r="E364" s="2" t="s">
        <v>855</v>
      </c>
      <c r="F364" t="s">
        <v>635</v>
      </c>
      <c r="G364" t="s">
        <v>810</v>
      </c>
      <c r="H364" t="s">
        <v>39</v>
      </c>
      <c r="I36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6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Jordan Brownjordan.brown675@example.comAustraliaPanel: Women in Tech01:30 PM47AAttendee</v>
      </c>
      <c r="K364" t="str">
        <f>IF(COUNTIF(Clean_Table[Temp ID],Clean_Table[[#This Row],[Temp ID]])&gt;1,"Duplicate","Unique")</f>
        <v>Unique</v>
      </c>
      <c r="L364">
        <f>IF(Clean_Table[[#This Row],[Role]]="VIP",1,0)</f>
        <v>0</v>
      </c>
      <c r="M364">
        <f>IF(Clean_Table[[#This Row],[Role]]="Speaker",1,0)</f>
        <v>0</v>
      </c>
      <c r="N364">
        <f>IF(Clean_Table[[#This Row],[Role]]="Sponsor",1,0)</f>
        <v>0</v>
      </c>
      <c r="O364">
        <f>IF(Clean_Table[[#This Row],[Role]]="Attendee",1,0)</f>
        <v>1</v>
      </c>
      <c r="P364">
        <f>IF(Clean_Table[[#This Row],[Empty Cell Check]]="Missing",1,0)</f>
        <v>1</v>
      </c>
    </row>
    <row r="365" spans="1:16">
      <c r="A365" t="s">
        <v>211</v>
      </c>
      <c r="B365" t="s">
        <v>638</v>
      </c>
      <c r="C365" t="s">
        <v>55</v>
      </c>
      <c r="D365" t="s">
        <v>810</v>
      </c>
      <c r="E365" s="1" t="s">
        <v>859</v>
      </c>
      <c r="F365" t="s">
        <v>639</v>
      </c>
      <c r="G365" t="s">
        <v>52</v>
      </c>
      <c r="H365" t="s">
        <v>39</v>
      </c>
      <c r="I36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6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Johnsonmorgan.johnson209@example.comBrazil08:30 PM47BVeganAttendee</v>
      </c>
      <c r="K365" t="str">
        <f>IF(COUNTIF(Clean_Table[Temp ID],Clean_Table[[#This Row],[Temp ID]])&gt;1,"Duplicate","Unique")</f>
        <v>Unique</v>
      </c>
      <c r="L365">
        <f>IF(Clean_Table[[#This Row],[Role]]="VIP",1,0)</f>
        <v>0</v>
      </c>
      <c r="M365">
        <f>IF(Clean_Table[[#This Row],[Role]]="Speaker",1,0)</f>
        <v>0</v>
      </c>
      <c r="N365">
        <f>IF(Clean_Table[[#This Row],[Role]]="Sponsor",1,0)</f>
        <v>0</v>
      </c>
      <c r="O365">
        <f>IF(Clean_Table[[#This Row],[Role]]="Attendee",1,0)</f>
        <v>1</v>
      </c>
      <c r="P365">
        <f>IF(Clean_Table[[#This Row],[Empty Cell Check]]="Missing",1,0)</f>
        <v>1</v>
      </c>
    </row>
    <row r="366" spans="1:16">
      <c r="A366" t="s">
        <v>366</v>
      </c>
      <c r="B366" t="s">
        <v>640</v>
      </c>
      <c r="C366" t="s">
        <v>78</v>
      </c>
      <c r="D366" t="s">
        <v>79</v>
      </c>
      <c r="E366" s="2" t="s">
        <v>853</v>
      </c>
      <c r="F366" t="s">
        <v>641</v>
      </c>
      <c r="G366" t="s">
        <v>810</v>
      </c>
      <c r="H366" t="s">
        <v>39</v>
      </c>
      <c r="I36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6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Jordan Johnsonjordan.johnson792@example.comAustraliaPanel: Women in Tech12:30 AM47CAttendee</v>
      </c>
      <c r="K366" t="str">
        <f>IF(COUNTIF(Clean_Table[Temp ID],Clean_Table[[#This Row],[Temp ID]])&gt;1,"Duplicate","Unique")</f>
        <v>Unique</v>
      </c>
      <c r="L366">
        <f>IF(Clean_Table[[#This Row],[Role]]="VIP",1,0)</f>
        <v>0</v>
      </c>
      <c r="M366">
        <f>IF(Clean_Table[[#This Row],[Role]]="Speaker",1,0)</f>
        <v>0</v>
      </c>
      <c r="N366">
        <f>IF(Clean_Table[[#This Row],[Role]]="Sponsor",1,0)</f>
        <v>0</v>
      </c>
      <c r="O366">
        <f>IF(Clean_Table[[#This Row],[Role]]="Attendee",1,0)</f>
        <v>1</v>
      </c>
      <c r="P366">
        <f>IF(Clean_Table[[#This Row],[Empty Cell Check]]="Missing",1,0)</f>
        <v>1</v>
      </c>
    </row>
    <row r="367" spans="1:16">
      <c r="A367" t="s">
        <v>205</v>
      </c>
      <c r="B367" t="s">
        <v>642</v>
      </c>
      <c r="C367" t="s">
        <v>101</v>
      </c>
      <c r="D367" t="s">
        <v>810</v>
      </c>
      <c r="E367" s="2" t="s">
        <v>835</v>
      </c>
      <c r="F367" t="s">
        <v>641</v>
      </c>
      <c r="G367" t="s">
        <v>91</v>
      </c>
      <c r="H367" t="s">
        <v>39</v>
      </c>
      <c r="I36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6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Drew Johnsondrew.johnson631@example.comJapan02:30 PM47CHalalAttendee</v>
      </c>
      <c r="K367" t="str">
        <f>IF(COUNTIF(Clean_Table[Temp ID],Clean_Table[[#This Row],[Temp ID]])&gt;1,"Duplicate","Unique")</f>
        <v>Unique</v>
      </c>
      <c r="L367">
        <f>IF(Clean_Table[[#This Row],[Role]]="VIP",1,0)</f>
        <v>0</v>
      </c>
      <c r="M367">
        <f>IF(Clean_Table[[#This Row],[Role]]="Speaker",1,0)</f>
        <v>0</v>
      </c>
      <c r="N367">
        <f>IF(Clean_Table[[#This Row],[Role]]="Sponsor",1,0)</f>
        <v>0</v>
      </c>
      <c r="O367">
        <f>IF(Clean_Table[[#This Row],[Role]]="Attendee",1,0)</f>
        <v>1</v>
      </c>
      <c r="P367">
        <f>IF(Clean_Table[[#This Row],[Empty Cell Check]]="Missing",1,0)</f>
        <v>1</v>
      </c>
    </row>
    <row r="368" spans="1:16">
      <c r="A368" t="s">
        <v>159</v>
      </c>
      <c r="B368" t="s">
        <v>643</v>
      </c>
      <c r="C368" t="s">
        <v>27</v>
      </c>
      <c r="D368" t="s">
        <v>45</v>
      </c>
      <c r="E368" s="1" t="s">
        <v>860</v>
      </c>
      <c r="F368" t="s">
        <v>644</v>
      </c>
      <c r="G368" t="s">
        <v>28</v>
      </c>
      <c r="H368" t="s">
        <v>39</v>
      </c>
      <c r="I36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36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Hallriley.hall37@example.comFranceKeynote: Future of Data11:30 AM48AKosherAttendee</v>
      </c>
      <c r="K368" t="str">
        <f>IF(COUNTIF(Clean_Table[Temp ID],Clean_Table[[#This Row],[Temp ID]])&gt;1,"Duplicate","Unique")</f>
        <v>Unique</v>
      </c>
      <c r="L368">
        <f>IF(Clean_Table[[#This Row],[Role]]="VIP",1,0)</f>
        <v>0</v>
      </c>
      <c r="M368">
        <f>IF(Clean_Table[[#This Row],[Role]]="Speaker",1,0)</f>
        <v>0</v>
      </c>
      <c r="N368">
        <f>IF(Clean_Table[[#This Row],[Role]]="Sponsor",1,0)</f>
        <v>0</v>
      </c>
      <c r="O368">
        <f>IF(Clean_Table[[#This Row],[Role]]="Attendee",1,0)</f>
        <v>1</v>
      </c>
      <c r="P368">
        <f>IF(Clean_Table[[#This Row],[Empty Cell Check]]="Missing",1,0)</f>
        <v>0</v>
      </c>
    </row>
    <row r="369" spans="1:16">
      <c r="A369" t="s">
        <v>59</v>
      </c>
      <c r="B369" t="s">
        <v>645</v>
      </c>
      <c r="C369" t="s">
        <v>78</v>
      </c>
      <c r="D369" t="s">
        <v>71</v>
      </c>
      <c r="E369" s="1" t="s">
        <v>852</v>
      </c>
      <c r="F369" t="s">
        <v>644</v>
      </c>
      <c r="G369" t="s">
        <v>28</v>
      </c>
      <c r="H369" t="s">
        <v>39</v>
      </c>
      <c r="I36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36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Leecasey.lee133@example.comAustraliaWebinar: AI Ethics09:30 PM48AKosherAttendee</v>
      </c>
      <c r="K369" t="str">
        <f>IF(COUNTIF(Clean_Table[Temp ID],Clean_Table[[#This Row],[Temp ID]])&gt;1,"Duplicate","Unique")</f>
        <v>Unique</v>
      </c>
      <c r="L369">
        <f>IF(Clean_Table[[#This Row],[Role]]="VIP",1,0)</f>
        <v>0</v>
      </c>
      <c r="M369">
        <f>IF(Clean_Table[[#This Row],[Role]]="Speaker",1,0)</f>
        <v>0</v>
      </c>
      <c r="N369">
        <f>IF(Clean_Table[[#This Row],[Role]]="Sponsor",1,0)</f>
        <v>0</v>
      </c>
      <c r="O369">
        <f>IF(Clean_Table[[#This Row],[Role]]="Attendee",1,0)</f>
        <v>1</v>
      </c>
      <c r="P369">
        <f>IF(Clean_Table[[#This Row],[Empty Cell Check]]="Missing",1,0)</f>
        <v>0</v>
      </c>
    </row>
    <row r="370" spans="1:16">
      <c r="A370" t="s">
        <v>64</v>
      </c>
      <c r="B370" t="s">
        <v>646</v>
      </c>
      <c r="C370" t="s">
        <v>34</v>
      </c>
      <c r="D370" t="s">
        <v>71</v>
      </c>
      <c r="E370" s="2" t="s">
        <v>844</v>
      </c>
      <c r="F370" t="s">
        <v>644</v>
      </c>
      <c r="G370" t="s">
        <v>52</v>
      </c>
      <c r="H370" t="s">
        <v>39</v>
      </c>
      <c r="I37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37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Smithjamie.smith186@example.comGermanyWebinar: AI Ethics02:00 AM48AVeganAttendee</v>
      </c>
      <c r="K370" t="str">
        <f>IF(COUNTIF(Clean_Table[Temp ID],Clean_Table[[#This Row],[Temp ID]])&gt;1,"Duplicate","Unique")</f>
        <v>Unique</v>
      </c>
      <c r="L370">
        <f>IF(Clean_Table[[#This Row],[Role]]="VIP",1,0)</f>
        <v>0</v>
      </c>
      <c r="M370">
        <f>IF(Clean_Table[[#This Row],[Role]]="Speaker",1,0)</f>
        <v>0</v>
      </c>
      <c r="N370">
        <f>IF(Clean_Table[[#This Row],[Role]]="Sponsor",1,0)</f>
        <v>0</v>
      </c>
      <c r="O370">
        <f>IF(Clean_Table[[#This Row],[Role]]="Attendee",1,0)</f>
        <v>1</v>
      </c>
      <c r="P370">
        <f>IF(Clean_Table[[#This Row],[Empty Cell Check]]="Missing",1,0)</f>
        <v>0</v>
      </c>
    </row>
    <row r="371" spans="1:16">
      <c r="A371" t="s">
        <v>368</v>
      </c>
      <c r="B371" t="s">
        <v>647</v>
      </c>
      <c r="C371" t="s">
        <v>78</v>
      </c>
      <c r="D371" t="s">
        <v>45</v>
      </c>
      <c r="E371" s="1" t="s">
        <v>835</v>
      </c>
      <c r="F371" t="s">
        <v>648</v>
      </c>
      <c r="G371" t="s">
        <v>28</v>
      </c>
      <c r="H371" t="s">
        <v>39</v>
      </c>
      <c r="I37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37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Clarkcasey.clark989@example.comAustraliaKeynote: Future of Data02:30 PM48BKosherAttendee</v>
      </c>
      <c r="K371" t="str">
        <f>IF(COUNTIF(Clean_Table[Temp ID],Clean_Table[[#This Row],[Temp ID]])&gt;1,"Duplicate","Unique")</f>
        <v>Unique</v>
      </c>
      <c r="L371">
        <f>IF(Clean_Table[[#This Row],[Role]]="VIP",1,0)</f>
        <v>0</v>
      </c>
      <c r="M371">
        <f>IF(Clean_Table[[#This Row],[Role]]="Speaker",1,0)</f>
        <v>0</v>
      </c>
      <c r="N371">
        <f>IF(Clean_Table[[#This Row],[Role]]="Sponsor",1,0)</f>
        <v>0</v>
      </c>
      <c r="O371">
        <f>IF(Clean_Table[[#This Row],[Role]]="Attendee",1,0)</f>
        <v>1</v>
      </c>
      <c r="P371">
        <f>IF(Clean_Table[[#This Row],[Empty Cell Check]]="Missing",1,0)</f>
        <v>0</v>
      </c>
    </row>
    <row r="372" spans="1:16">
      <c r="A372" t="s">
        <v>313</v>
      </c>
      <c r="B372" t="s">
        <v>649</v>
      </c>
      <c r="C372" t="s">
        <v>101</v>
      </c>
      <c r="D372" t="s">
        <v>810</v>
      </c>
      <c r="E372" s="2" t="s">
        <v>820</v>
      </c>
      <c r="F372" t="s">
        <v>648</v>
      </c>
      <c r="G372" t="s">
        <v>52</v>
      </c>
      <c r="H372" t="s">
        <v>39</v>
      </c>
      <c r="I37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7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Browncasey.brown211@example.comJapan08:00 PM48BVeganAttendee</v>
      </c>
      <c r="K372" t="str">
        <f>IF(COUNTIF(Clean_Table[Temp ID],Clean_Table[[#This Row],[Temp ID]])&gt;1,"Duplicate","Unique")</f>
        <v>Unique</v>
      </c>
      <c r="L372">
        <f>IF(Clean_Table[[#This Row],[Role]]="VIP",1,0)</f>
        <v>0</v>
      </c>
      <c r="M372">
        <f>IF(Clean_Table[[#This Row],[Role]]="Speaker",1,0)</f>
        <v>0</v>
      </c>
      <c r="N372">
        <f>IF(Clean_Table[[#This Row],[Role]]="Sponsor",1,0)</f>
        <v>0</v>
      </c>
      <c r="O372">
        <f>IF(Clean_Table[[#This Row],[Role]]="Attendee",1,0)</f>
        <v>1</v>
      </c>
      <c r="P372">
        <f>IF(Clean_Table[[#This Row],[Empty Cell Check]]="Missing",1,0)</f>
        <v>1</v>
      </c>
    </row>
    <row r="373" spans="1:16">
      <c r="A373" t="s">
        <v>598</v>
      </c>
      <c r="B373" t="s">
        <v>650</v>
      </c>
      <c r="C373" t="s">
        <v>96</v>
      </c>
      <c r="D373" t="s">
        <v>810</v>
      </c>
      <c r="E373" s="1" t="s">
        <v>835</v>
      </c>
      <c r="F373" t="s">
        <v>648</v>
      </c>
      <c r="G373" t="s">
        <v>52</v>
      </c>
      <c r="H373" t="s">
        <v>39</v>
      </c>
      <c r="I37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7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Allenjamie.allen446@example.comUnited Kingdom02:30 PM48BVeganAttendee</v>
      </c>
      <c r="K373" t="str">
        <f>IF(COUNTIF(Clean_Table[Temp ID],Clean_Table[[#This Row],[Temp ID]])&gt;1,"Duplicate","Unique")</f>
        <v>Unique</v>
      </c>
      <c r="L373">
        <f>IF(Clean_Table[[#This Row],[Role]]="VIP",1,0)</f>
        <v>0</v>
      </c>
      <c r="M373">
        <f>IF(Clean_Table[[#This Row],[Role]]="Speaker",1,0)</f>
        <v>0</v>
      </c>
      <c r="N373">
        <f>IF(Clean_Table[[#This Row],[Role]]="Sponsor",1,0)</f>
        <v>0</v>
      </c>
      <c r="O373">
        <f>IF(Clean_Table[[#This Row],[Role]]="Attendee",1,0)</f>
        <v>1</v>
      </c>
      <c r="P373">
        <f>IF(Clean_Table[[#This Row],[Empty Cell Check]]="Missing",1,0)</f>
        <v>1</v>
      </c>
    </row>
    <row r="374" spans="1:16">
      <c r="A374" t="s">
        <v>59</v>
      </c>
      <c r="B374" t="s">
        <v>651</v>
      </c>
      <c r="C374" t="s">
        <v>12</v>
      </c>
      <c r="D374" t="s">
        <v>810</v>
      </c>
      <c r="E374" s="2" t="s">
        <v>836</v>
      </c>
      <c r="F374" t="s">
        <v>652</v>
      </c>
      <c r="G374" t="s">
        <v>52</v>
      </c>
      <c r="H374" t="s">
        <v>39</v>
      </c>
      <c r="I37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7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Leecasey.lee957@example.comUnited States03:00 PM48CVeganAttendee</v>
      </c>
      <c r="K374" t="str">
        <f>IF(COUNTIF(Clean_Table[Temp ID],Clean_Table[[#This Row],[Temp ID]])&gt;1,"Duplicate","Unique")</f>
        <v>Unique</v>
      </c>
      <c r="L374">
        <f>IF(Clean_Table[[#This Row],[Role]]="VIP",1,0)</f>
        <v>0</v>
      </c>
      <c r="M374">
        <f>IF(Clean_Table[[#This Row],[Role]]="Speaker",1,0)</f>
        <v>0</v>
      </c>
      <c r="N374">
        <f>IF(Clean_Table[[#This Row],[Role]]="Sponsor",1,0)</f>
        <v>0</v>
      </c>
      <c r="O374">
        <f>IF(Clean_Table[[#This Row],[Role]]="Attendee",1,0)</f>
        <v>1</v>
      </c>
      <c r="P374">
        <f>IF(Clean_Table[[#This Row],[Empty Cell Check]]="Missing",1,0)</f>
        <v>1</v>
      </c>
    </row>
    <row r="375" spans="1:16">
      <c r="A375" t="s">
        <v>393</v>
      </c>
      <c r="B375" t="s">
        <v>653</v>
      </c>
      <c r="C375" t="s">
        <v>34</v>
      </c>
      <c r="D375" t="s">
        <v>810</v>
      </c>
      <c r="E375" s="1" t="s">
        <v>850</v>
      </c>
      <c r="F375" t="s">
        <v>652</v>
      </c>
      <c r="G375" t="s">
        <v>810</v>
      </c>
      <c r="H375" t="s">
        <v>39</v>
      </c>
      <c r="I37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7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Halljamie.hall308@example.comGermany05:00 PM48CAttendee</v>
      </c>
      <c r="K375" t="str">
        <f>IF(COUNTIF(Clean_Table[Temp ID],Clean_Table[[#This Row],[Temp ID]])&gt;1,"Duplicate","Unique")</f>
        <v>Unique</v>
      </c>
      <c r="L375">
        <f>IF(Clean_Table[[#This Row],[Role]]="VIP",1,0)</f>
        <v>0</v>
      </c>
      <c r="M375">
        <f>IF(Clean_Table[[#This Row],[Role]]="Speaker",1,0)</f>
        <v>0</v>
      </c>
      <c r="N375">
        <f>IF(Clean_Table[[#This Row],[Role]]="Sponsor",1,0)</f>
        <v>0</v>
      </c>
      <c r="O375">
        <f>IF(Clean_Table[[#This Row],[Role]]="Attendee",1,0)</f>
        <v>1</v>
      </c>
      <c r="P375">
        <f>IF(Clean_Table[[#This Row],[Empty Cell Check]]="Missing",1,0)</f>
        <v>1</v>
      </c>
    </row>
    <row r="376" spans="1:16">
      <c r="A376" t="s">
        <v>619</v>
      </c>
      <c r="B376" t="s">
        <v>654</v>
      </c>
      <c r="C376" t="s">
        <v>78</v>
      </c>
      <c r="D376" t="s">
        <v>79</v>
      </c>
      <c r="E376" s="1" t="s">
        <v>841</v>
      </c>
      <c r="F376" t="s">
        <v>652</v>
      </c>
      <c r="G376" t="s">
        <v>31</v>
      </c>
      <c r="H376" t="s">
        <v>39</v>
      </c>
      <c r="I37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37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Allenmorgan.allen867@example.comAustraliaPanel: Women in Tech03:00 AM48CNoneAttendee</v>
      </c>
      <c r="K376" t="str">
        <f>IF(COUNTIF(Clean_Table[Temp ID],Clean_Table[[#This Row],[Temp ID]])&gt;1,"Duplicate","Unique")</f>
        <v>Unique</v>
      </c>
      <c r="L376">
        <f>IF(Clean_Table[[#This Row],[Role]]="VIP",1,0)</f>
        <v>0</v>
      </c>
      <c r="M376">
        <f>IF(Clean_Table[[#This Row],[Role]]="Speaker",1,0)</f>
        <v>0</v>
      </c>
      <c r="N376">
        <f>IF(Clean_Table[[#This Row],[Role]]="Sponsor",1,0)</f>
        <v>0</v>
      </c>
      <c r="O376">
        <f>IF(Clean_Table[[#This Row],[Role]]="Attendee",1,0)</f>
        <v>1</v>
      </c>
      <c r="P376">
        <f>IF(Clean_Table[[#This Row],[Empty Cell Check]]="Missing",1,0)</f>
        <v>0</v>
      </c>
    </row>
    <row r="377" spans="1:16">
      <c r="A377" t="s">
        <v>366</v>
      </c>
      <c r="B377" t="s">
        <v>655</v>
      </c>
      <c r="C377" t="s">
        <v>27</v>
      </c>
      <c r="D377" t="s">
        <v>50</v>
      </c>
      <c r="E377" s="1" t="s">
        <v>838</v>
      </c>
      <c r="F377" t="s">
        <v>652</v>
      </c>
      <c r="G377" t="s">
        <v>28</v>
      </c>
      <c r="H377" t="s">
        <v>39</v>
      </c>
      <c r="I37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37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Jordan Johnsonjordan.johnson377@example.comFranceWorkshop: Excel Mastery03:30 PM48CKosherAttendee</v>
      </c>
      <c r="K377" t="str">
        <f>IF(COUNTIF(Clean_Table[Temp ID],Clean_Table[[#This Row],[Temp ID]])&gt;1,"Duplicate","Unique")</f>
        <v>Unique</v>
      </c>
      <c r="L377">
        <f>IF(Clean_Table[[#This Row],[Role]]="VIP",1,0)</f>
        <v>0</v>
      </c>
      <c r="M377">
        <f>IF(Clean_Table[[#This Row],[Role]]="Speaker",1,0)</f>
        <v>0</v>
      </c>
      <c r="N377">
        <f>IF(Clean_Table[[#This Row],[Role]]="Sponsor",1,0)</f>
        <v>0</v>
      </c>
      <c r="O377">
        <f>IF(Clean_Table[[#This Row],[Role]]="Attendee",1,0)</f>
        <v>1</v>
      </c>
      <c r="P377">
        <f>IF(Clean_Table[[#This Row],[Empty Cell Check]]="Missing",1,0)</f>
        <v>0</v>
      </c>
    </row>
    <row r="378" spans="1:16">
      <c r="A378" t="s">
        <v>389</v>
      </c>
      <c r="B378" t="s">
        <v>656</v>
      </c>
      <c r="C378" t="s">
        <v>96</v>
      </c>
      <c r="D378" t="s">
        <v>810</v>
      </c>
      <c r="E378" s="1" t="s">
        <v>843</v>
      </c>
      <c r="F378" t="s">
        <v>657</v>
      </c>
      <c r="G378" t="s">
        <v>15</v>
      </c>
      <c r="H378" t="s">
        <v>39</v>
      </c>
      <c r="I37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7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Johnsontaylor.johnson44@example.comUnited Kingdom06:30 AM48DVegetarianAttendee</v>
      </c>
      <c r="K378" t="str">
        <f>IF(COUNTIF(Clean_Table[Temp ID],Clean_Table[[#This Row],[Temp ID]])&gt;1,"Duplicate","Unique")</f>
        <v>Unique</v>
      </c>
      <c r="L378">
        <f>IF(Clean_Table[[#This Row],[Role]]="VIP",1,0)</f>
        <v>0</v>
      </c>
      <c r="M378">
        <f>IF(Clean_Table[[#This Row],[Role]]="Speaker",1,0)</f>
        <v>0</v>
      </c>
      <c r="N378">
        <f>IF(Clean_Table[[#This Row],[Role]]="Sponsor",1,0)</f>
        <v>0</v>
      </c>
      <c r="O378">
        <f>IF(Clean_Table[[#This Row],[Role]]="Attendee",1,0)</f>
        <v>1</v>
      </c>
      <c r="P378">
        <f>IF(Clean_Table[[#This Row],[Empty Cell Check]]="Missing",1,0)</f>
        <v>1</v>
      </c>
    </row>
    <row r="379" spans="1:16">
      <c r="A379" t="s">
        <v>168</v>
      </c>
      <c r="B379" t="s">
        <v>658</v>
      </c>
      <c r="C379" t="s">
        <v>112</v>
      </c>
      <c r="D379" t="s">
        <v>810</v>
      </c>
      <c r="E379" s="1" t="s">
        <v>858</v>
      </c>
      <c r="F379" t="s">
        <v>657</v>
      </c>
      <c r="G379" t="s">
        <v>810</v>
      </c>
      <c r="H379" t="s">
        <v>39</v>
      </c>
      <c r="I37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7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Chris Johnsonchris.johnson288@example.comNigeria04:00 PM48DAttendee</v>
      </c>
      <c r="K379" t="str">
        <f>IF(COUNTIF(Clean_Table[Temp ID],Clean_Table[[#This Row],[Temp ID]])&gt;1,"Duplicate","Unique")</f>
        <v>Unique</v>
      </c>
      <c r="L379">
        <f>IF(Clean_Table[[#This Row],[Role]]="VIP",1,0)</f>
        <v>0</v>
      </c>
      <c r="M379">
        <f>IF(Clean_Table[[#This Row],[Role]]="Speaker",1,0)</f>
        <v>0</v>
      </c>
      <c r="N379">
        <f>IF(Clean_Table[[#This Row],[Role]]="Sponsor",1,0)</f>
        <v>0</v>
      </c>
      <c r="O379">
        <f>IF(Clean_Table[[#This Row],[Role]]="Attendee",1,0)</f>
        <v>1</v>
      </c>
      <c r="P379">
        <f>IF(Clean_Table[[#This Row],[Empty Cell Check]]="Missing",1,0)</f>
        <v>1</v>
      </c>
    </row>
    <row r="380" spans="1:16">
      <c r="A380" t="s">
        <v>69</v>
      </c>
      <c r="B380" t="s">
        <v>659</v>
      </c>
      <c r="C380" t="s">
        <v>55</v>
      </c>
      <c r="D380" t="s">
        <v>79</v>
      </c>
      <c r="E380" s="1" t="s">
        <v>837</v>
      </c>
      <c r="F380" t="s">
        <v>660</v>
      </c>
      <c r="G380" t="s">
        <v>52</v>
      </c>
      <c r="H380" t="s">
        <v>39</v>
      </c>
      <c r="I38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38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Clarkmorgan.clark340@example.comBrazilPanel: Women in Tech10:30 AM49AVeganAttendee</v>
      </c>
      <c r="K380" t="str">
        <f>IF(COUNTIF(Clean_Table[Temp ID],Clean_Table[[#This Row],[Temp ID]])&gt;1,"Duplicate","Unique")</f>
        <v>Unique</v>
      </c>
      <c r="L380">
        <f>IF(Clean_Table[[#This Row],[Role]]="VIP",1,0)</f>
        <v>0</v>
      </c>
      <c r="M380">
        <f>IF(Clean_Table[[#This Row],[Role]]="Speaker",1,0)</f>
        <v>0</v>
      </c>
      <c r="N380">
        <f>IF(Clean_Table[[#This Row],[Role]]="Sponsor",1,0)</f>
        <v>0</v>
      </c>
      <c r="O380">
        <f>IF(Clean_Table[[#This Row],[Role]]="Attendee",1,0)</f>
        <v>1</v>
      </c>
      <c r="P380">
        <f>IF(Clean_Table[[#This Row],[Empty Cell Check]]="Missing",1,0)</f>
        <v>0</v>
      </c>
    </row>
    <row r="381" spans="1:16">
      <c r="A381" t="s">
        <v>416</v>
      </c>
      <c r="B381" t="s">
        <v>661</v>
      </c>
      <c r="C381" t="s">
        <v>810</v>
      </c>
      <c r="D381" t="s">
        <v>810</v>
      </c>
      <c r="E381" s="2" t="s">
        <v>835</v>
      </c>
      <c r="F381" t="s">
        <v>660</v>
      </c>
      <c r="G381" t="s">
        <v>52</v>
      </c>
      <c r="H381" t="s">
        <v>39</v>
      </c>
      <c r="I38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8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Chris Lewischris.lewis135@example.com02:30 PM49AVeganAttendee</v>
      </c>
      <c r="K381" t="str">
        <f>IF(COUNTIF(Clean_Table[Temp ID],Clean_Table[[#This Row],[Temp ID]])&gt;1,"Duplicate","Unique")</f>
        <v>Unique</v>
      </c>
      <c r="L381">
        <f>IF(Clean_Table[[#This Row],[Role]]="VIP",1,0)</f>
        <v>0</v>
      </c>
      <c r="M381">
        <f>IF(Clean_Table[[#This Row],[Role]]="Speaker",1,0)</f>
        <v>0</v>
      </c>
      <c r="N381">
        <f>IF(Clean_Table[[#This Row],[Role]]="Sponsor",1,0)</f>
        <v>0</v>
      </c>
      <c r="O381">
        <f>IF(Clean_Table[[#This Row],[Role]]="Attendee",1,0)</f>
        <v>1</v>
      </c>
      <c r="P381">
        <f>IF(Clean_Table[[#This Row],[Empty Cell Check]]="Missing",1,0)</f>
        <v>1</v>
      </c>
    </row>
    <row r="382" spans="1:16">
      <c r="A382" t="s">
        <v>207</v>
      </c>
      <c r="B382" t="s">
        <v>662</v>
      </c>
      <c r="C382" t="s">
        <v>68</v>
      </c>
      <c r="D382" t="s">
        <v>71</v>
      </c>
      <c r="E382" s="1" t="s">
        <v>845</v>
      </c>
      <c r="F382" t="s">
        <v>663</v>
      </c>
      <c r="G382" t="s">
        <v>15</v>
      </c>
      <c r="H382" t="s">
        <v>39</v>
      </c>
      <c r="I38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38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Chris Wilsonchris.wilson60@example.comIndiaWebinar: AI Ethics02:30 AM49BVegetarianAttendee</v>
      </c>
      <c r="K382" t="str">
        <f>IF(COUNTIF(Clean_Table[Temp ID],Clean_Table[[#This Row],[Temp ID]])&gt;1,"Duplicate","Unique")</f>
        <v>Unique</v>
      </c>
      <c r="L382">
        <f>IF(Clean_Table[[#This Row],[Role]]="VIP",1,0)</f>
        <v>0</v>
      </c>
      <c r="M382">
        <f>IF(Clean_Table[[#This Row],[Role]]="Speaker",1,0)</f>
        <v>0</v>
      </c>
      <c r="N382">
        <f>IF(Clean_Table[[#This Row],[Role]]="Sponsor",1,0)</f>
        <v>0</v>
      </c>
      <c r="O382">
        <f>IF(Clean_Table[[#This Row],[Role]]="Attendee",1,0)</f>
        <v>1</v>
      </c>
      <c r="P382">
        <f>IF(Clean_Table[[#This Row],[Empty Cell Check]]="Missing",1,0)</f>
        <v>0</v>
      </c>
    </row>
    <row r="383" spans="1:16">
      <c r="A383" t="s">
        <v>164</v>
      </c>
      <c r="B383" t="s">
        <v>664</v>
      </c>
      <c r="C383" t="s">
        <v>68</v>
      </c>
      <c r="D383" t="s">
        <v>45</v>
      </c>
      <c r="E383" s="1" t="s">
        <v>815</v>
      </c>
      <c r="F383" t="s">
        <v>663</v>
      </c>
      <c r="G383" t="s">
        <v>810</v>
      </c>
      <c r="H383" t="s">
        <v>39</v>
      </c>
      <c r="I38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8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Alex Hallalex.hall971@example.comIndiaKeynote: Future of Data12:30 PM49BAttendee</v>
      </c>
      <c r="K383" t="str">
        <f>IF(COUNTIF(Clean_Table[Temp ID],Clean_Table[[#This Row],[Temp ID]])&gt;1,"Duplicate","Unique")</f>
        <v>Unique</v>
      </c>
      <c r="L383">
        <f>IF(Clean_Table[[#This Row],[Role]]="VIP",1,0)</f>
        <v>0</v>
      </c>
      <c r="M383">
        <f>IF(Clean_Table[[#This Row],[Role]]="Speaker",1,0)</f>
        <v>0</v>
      </c>
      <c r="N383">
        <f>IF(Clean_Table[[#This Row],[Role]]="Sponsor",1,0)</f>
        <v>0</v>
      </c>
      <c r="O383">
        <f>IF(Clean_Table[[#This Row],[Role]]="Attendee",1,0)</f>
        <v>1</v>
      </c>
      <c r="P383">
        <f>IF(Clean_Table[[#This Row],[Empty Cell Check]]="Missing",1,0)</f>
        <v>1</v>
      </c>
    </row>
    <row r="384" spans="1:16">
      <c r="A384" t="s">
        <v>168</v>
      </c>
      <c r="B384" t="s">
        <v>665</v>
      </c>
      <c r="C384" t="s">
        <v>37</v>
      </c>
      <c r="D384" t="s">
        <v>810</v>
      </c>
      <c r="E384" s="1" t="s">
        <v>856</v>
      </c>
      <c r="F384" t="s">
        <v>663</v>
      </c>
      <c r="G384" t="s">
        <v>15</v>
      </c>
      <c r="H384" t="s">
        <v>39</v>
      </c>
      <c r="I38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8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Chris Johnsonchris.johnson237@example.comCanada06:00 AM49BVegetarianAttendee</v>
      </c>
      <c r="K384" t="str">
        <f>IF(COUNTIF(Clean_Table[Temp ID],Clean_Table[[#This Row],[Temp ID]])&gt;1,"Duplicate","Unique")</f>
        <v>Unique</v>
      </c>
      <c r="L384">
        <f>IF(Clean_Table[[#This Row],[Role]]="VIP",1,0)</f>
        <v>0</v>
      </c>
      <c r="M384">
        <f>IF(Clean_Table[[#This Row],[Role]]="Speaker",1,0)</f>
        <v>0</v>
      </c>
      <c r="N384">
        <f>IF(Clean_Table[[#This Row],[Role]]="Sponsor",1,0)</f>
        <v>0</v>
      </c>
      <c r="O384">
        <f>IF(Clean_Table[[#This Row],[Role]]="Attendee",1,0)</f>
        <v>1</v>
      </c>
      <c r="P384">
        <f>IF(Clean_Table[[#This Row],[Empty Cell Check]]="Missing",1,0)</f>
        <v>1</v>
      </c>
    </row>
    <row r="385" spans="1:16">
      <c r="A385" t="s">
        <v>214</v>
      </c>
      <c r="B385" t="s">
        <v>666</v>
      </c>
      <c r="C385" t="s">
        <v>810</v>
      </c>
      <c r="D385" t="s">
        <v>50</v>
      </c>
      <c r="E385" s="1" t="s">
        <v>817</v>
      </c>
      <c r="F385" t="s">
        <v>663</v>
      </c>
      <c r="G385" t="s">
        <v>28</v>
      </c>
      <c r="H385" t="s">
        <v>39</v>
      </c>
      <c r="I38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8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Jordan Clarkjordan.clark681@example.comWorkshop: Excel Mastery07:30 AM49BKosherAttendee</v>
      </c>
      <c r="K385" t="str">
        <f>IF(COUNTIF(Clean_Table[Temp ID],Clean_Table[[#This Row],[Temp ID]])&gt;1,"Duplicate","Unique")</f>
        <v>Unique</v>
      </c>
      <c r="L385">
        <f>IF(Clean_Table[[#This Row],[Role]]="VIP",1,0)</f>
        <v>0</v>
      </c>
      <c r="M385">
        <f>IF(Clean_Table[[#This Row],[Role]]="Speaker",1,0)</f>
        <v>0</v>
      </c>
      <c r="N385">
        <f>IF(Clean_Table[[#This Row],[Role]]="Sponsor",1,0)</f>
        <v>0</v>
      </c>
      <c r="O385">
        <f>IF(Clean_Table[[#This Row],[Role]]="Attendee",1,0)</f>
        <v>1</v>
      </c>
      <c r="P385">
        <f>IF(Clean_Table[[#This Row],[Empty Cell Check]]="Missing",1,0)</f>
        <v>1</v>
      </c>
    </row>
    <row r="386" spans="1:16">
      <c r="A386" t="s">
        <v>22</v>
      </c>
      <c r="B386" t="s">
        <v>667</v>
      </c>
      <c r="C386" t="s">
        <v>810</v>
      </c>
      <c r="D386" t="s">
        <v>50</v>
      </c>
      <c r="E386" s="1" t="s">
        <v>851</v>
      </c>
      <c r="F386" t="s">
        <v>663</v>
      </c>
      <c r="G386" t="s">
        <v>810</v>
      </c>
      <c r="H386" t="s">
        <v>39</v>
      </c>
      <c r="I38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8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Hallmorgan.hall485@example.comWorkshop: Excel Mastery05:30 PM49BAttendee</v>
      </c>
      <c r="K386" t="str">
        <f>IF(COUNTIF(Clean_Table[Temp ID],Clean_Table[[#This Row],[Temp ID]])&gt;1,"Duplicate","Unique")</f>
        <v>Unique</v>
      </c>
      <c r="L386">
        <f>IF(Clean_Table[[#This Row],[Role]]="VIP",1,0)</f>
        <v>0</v>
      </c>
      <c r="M386">
        <f>IF(Clean_Table[[#This Row],[Role]]="Speaker",1,0)</f>
        <v>0</v>
      </c>
      <c r="N386">
        <f>IF(Clean_Table[[#This Row],[Role]]="Sponsor",1,0)</f>
        <v>0</v>
      </c>
      <c r="O386">
        <f>IF(Clean_Table[[#This Row],[Role]]="Attendee",1,0)</f>
        <v>1</v>
      </c>
      <c r="P386">
        <f>IF(Clean_Table[[#This Row],[Empty Cell Check]]="Missing",1,0)</f>
        <v>1</v>
      </c>
    </row>
    <row r="387" spans="1:16">
      <c r="A387" t="s">
        <v>632</v>
      </c>
      <c r="B387" t="s">
        <v>668</v>
      </c>
      <c r="C387" t="s">
        <v>101</v>
      </c>
      <c r="D387" t="s">
        <v>50</v>
      </c>
      <c r="E387" s="2" t="s">
        <v>853</v>
      </c>
      <c r="F387" t="s">
        <v>663</v>
      </c>
      <c r="G387" t="s">
        <v>52</v>
      </c>
      <c r="H387" t="s">
        <v>39</v>
      </c>
      <c r="I38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38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Smithcasey.smith39@example.comJapanWorkshop: Excel Mastery12:30 AM49BVeganAttendee</v>
      </c>
      <c r="K387" t="str">
        <f>IF(COUNTIF(Clean_Table[Temp ID],Clean_Table[[#This Row],[Temp ID]])&gt;1,"Duplicate","Unique")</f>
        <v>Unique</v>
      </c>
      <c r="L387">
        <f>IF(Clean_Table[[#This Row],[Role]]="VIP",1,0)</f>
        <v>0</v>
      </c>
      <c r="M387">
        <f>IF(Clean_Table[[#This Row],[Role]]="Speaker",1,0)</f>
        <v>0</v>
      </c>
      <c r="N387">
        <f>IF(Clean_Table[[#This Row],[Role]]="Sponsor",1,0)</f>
        <v>0</v>
      </c>
      <c r="O387">
        <f>IF(Clean_Table[[#This Row],[Role]]="Attendee",1,0)</f>
        <v>1</v>
      </c>
      <c r="P387">
        <f>IF(Clean_Table[[#This Row],[Empty Cell Check]]="Missing",1,0)</f>
        <v>0</v>
      </c>
    </row>
    <row r="388" spans="1:16">
      <c r="A388" t="s">
        <v>35</v>
      </c>
      <c r="B388" t="s">
        <v>669</v>
      </c>
      <c r="C388" t="s">
        <v>810</v>
      </c>
      <c r="D388" t="s">
        <v>810</v>
      </c>
      <c r="E388" s="2" t="s">
        <v>829</v>
      </c>
      <c r="F388" t="s">
        <v>670</v>
      </c>
      <c r="G388" t="s">
        <v>31</v>
      </c>
      <c r="H388" t="s">
        <v>39</v>
      </c>
      <c r="I38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8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Halltaylor.hall556@example.com10:00 PM49CNoneAttendee</v>
      </c>
      <c r="K388" t="str">
        <f>IF(COUNTIF(Clean_Table[Temp ID],Clean_Table[[#This Row],[Temp ID]])&gt;1,"Duplicate","Unique")</f>
        <v>Unique</v>
      </c>
      <c r="L388">
        <f>IF(Clean_Table[[#This Row],[Role]]="VIP",1,0)</f>
        <v>0</v>
      </c>
      <c r="M388">
        <f>IF(Clean_Table[[#This Row],[Role]]="Speaker",1,0)</f>
        <v>0</v>
      </c>
      <c r="N388">
        <f>IF(Clean_Table[[#This Row],[Role]]="Sponsor",1,0)</f>
        <v>0</v>
      </c>
      <c r="O388">
        <f>IF(Clean_Table[[#This Row],[Role]]="Attendee",1,0)</f>
        <v>1</v>
      </c>
      <c r="P388">
        <f>IF(Clean_Table[[#This Row],[Empty Cell Check]]="Missing",1,0)</f>
        <v>1</v>
      </c>
    </row>
    <row r="389" spans="1:16">
      <c r="A389" t="s">
        <v>202</v>
      </c>
      <c r="B389" t="s">
        <v>671</v>
      </c>
      <c r="C389" t="s">
        <v>810</v>
      </c>
      <c r="D389" t="s">
        <v>79</v>
      </c>
      <c r="E389" s="2" t="s">
        <v>832</v>
      </c>
      <c r="F389" t="s">
        <v>670</v>
      </c>
      <c r="G389" t="s">
        <v>31</v>
      </c>
      <c r="H389" t="s">
        <v>39</v>
      </c>
      <c r="I38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8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Jesse Leejesse.lee321@example.comPanel: Women in Tech12:00 PM49CNoneAttendee</v>
      </c>
      <c r="K389" t="str">
        <f>IF(COUNTIF(Clean_Table[Temp ID],Clean_Table[[#This Row],[Temp ID]])&gt;1,"Duplicate","Unique")</f>
        <v>Unique</v>
      </c>
      <c r="L389">
        <f>IF(Clean_Table[[#This Row],[Role]]="VIP",1,0)</f>
        <v>0</v>
      </c>
      <c r="M389">
        <f>IF(Clean_Table[[#This Row],[Role]]="Speaker",1,0)</f>
        <v>0</v>
      </c>
      <c r="N389">
        <f>IF(Clean_Table[[#This Row],[Role]]="Sponsor",1,0)</f>
        <v>0</v>
      </c>
      <c r="O389">
        <f>IF(Clean_Table[[#This Row],[Role]]="Attendee",1,0)</f>
        <v>1</v>
      </c>
      <c r="P389">
        <f>IF(Clean_Table[[#This Row],[Empty Cell Check]]="Missing",1,0)</f>
        <v>1</v>
      </c>
    </row>
    <row r="390" spans="1:16">
      <c r="A390" t="s">
        <v>69</v>
      </c>
      <c r="B390" t="s">
        <v>672</v>
      </c>
      <c r="C390" t="s">
        <v>12</v>
      </c>
      <c r="D390" t="s">
        <v>50</v>
      </c>
      <c r="E390" s="1" t="s">
        <v>830</v>
      </c>
      <c r="F390" t="s">
        <v>673</v>
      </c>
      <c r="G390" t="s">
        <v>15</v>
      </c>
      <c r="H390" t="s">
        <v>39</v>
      </c>
      <c r="I39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39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Clarkmorgan.clark311@example.comUnited StatesWorkshop: Excel Mastery12:00 AM49DVegetarianAttendee</v>
      </c>
      <c r="K390" t="str">
        <f>IF(COUNTIF(Clean_Table[Temp ID],Clean_Table[[#This Row],[Temp ID]])&gt;1,"Duplicate","Unique")</f>
        <v>Unique</v>
      </c>
      <c r="L390">
        <f>IF(Clean_Table[[#This Row],[Role]]="VIP",1,0)</f>
        <v>0</v>
      </c>
      <c r="M390">
        <f>IF(Clean_Table[[#This Row],[Role]]="Speaker",1,0)</f>
        <v>0</v>
      </c>
      <c r="N390">
        <f>IF(Clean_Table[[#This Row],[Role]]="Sponsor",1,0)</f>
        <v>0</v>
      </c>
      <c r="O390">
        <f>IF(Clean_Table[[#This Row],[Role]]="Attendee",1,0)</f>
        <v>1</v>
      </c>
      <c r="P390">
        <f>IF(Clean_Table[[#This Row],[Empty Cell Check]]="Missing",1,0)</f>
        <v>0</v>
      </c>
    </row>
    <row r="391" spans="1:16">
      <c r="A391" t="s">
        <v>183</v>
      </c>
      <c r="B391" t="s">
        <v>674</v>
      </c>
      <c r="C391" t="s">
        <v>37</v>
      </c>
      <c r="D391" t="s">
        <v>13</v>
      </c>
      <c r="E391" s="1" t="s">
        <v>857</v>
      </c>
      <c r="F391" t="s">
        <v>673</v>
      </c>
      <c r="G391" t="s">
        <v>15</v>
      </c>
      <c r="H391" t="s">
        <v>39</v>
      </c>
      <c r="I39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39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Walkermorgan.walker307@example.comCanadaTraining: Dashboard Design09:00 PM49DVegetarianAttendee</v>
      </c>
      <c r="K391" t="str">
        <f>IF(COUNTIF(Clean_Table[Temp ID],Clean_Table[[#This Row],[Temp ID]])&gt;1,"Duplicate","Unique")</f>
        <v>Unique</v>
      </c>
      <c r="L391">
        <f>IF(Clean_Table[[#This Row],[Role]]="VIP",1,0)</f>
        <v>0</v>
      </c>
      <c r="M391">
        <f>IF(Clean_Table[[#This Row],[Role]]="Speaker",1,0)</f>
        <v>0</v>
      </c>
      <c r="N391">
        <f>IF(Clean_Table[[#This Row],[Role]]="Sponsor",1,0)</f>
        <v>0</v>
      </c>
      <c r="O391">
        <f>IF(Clean_Table[[#This Row],[Role]]="Attendee",1,0)</f>
        <v>1</v>
      </c>
      <c r="P391">
        <f>IF(Clean_Table[[#This Row],[Empty Cell Check]]="Missing",1,0)</f>
        <v>0</v>
      </c>
    </row>
    <row r="392" spans="1:16">
      <c r="A392" t="s">
        <v>366</v>
      </c>
      <c r="B392" t="s">
        <v>675</v>
      </c>
      <c r="C392" t="s">
        <v>68</v>
      </c>
      <c r="D392" t="s">
        <v>13</v>
      </c>
      <c r="E392" s="2" t="s">
        <v>840</v>
      </c>
      <c r="F392" t="s">
        <v>676</v>
      </c>
      <c r="G392" t="s">
        <v>810</v>
      </c>
      <c r="H392" t="s">
        <v>39</v>
      </c>
      <c r="I39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9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Jordan Johnsonjordan.johnson660@example.comIndiaTraining: Dashboard Design08:30 AM4AAttendee</v>
      </c>
      <c r="K392" t="str">
        <f>IF(COUNTIF(Clean_Table[Temp ID],Clean_Table[[#This Row],[Temp ID]])&gt;1,"Duplicate","Unique")</f>
        <v>Unique</v>
      </c>
      <c r="L392">
        <f>IF(Clean_Table[[#This Row],[Role]]="VIP",1,0)</f>
        <v>0</v>
      </c>
      <c r="M392">
        <f>IF(Clean_Table[[#This Row],[Role]]="Speaker",1,0)</f>
        <v>0</v>
      </c>
      <c r="N392">
        <f>IF(Clean_Table[[#This Row],[Role]]="Sponsor",1,0)</f>
        <v>0</v>
      </c>
      <c r="O392">
        <f>IF(Clean_Table[[#This Row],[Role]]="Attendee",1,0)</f>
        <v>1</v>
      </c>
      <c r="P392">
        <f>IF(Clean_Table[[#This Row],[Empty Cell Check]]="Missing",1,0)</f>
        <v>1</v>
      </c>
    </row>
    <row r="393" spans="1:16">
      <c r="A393" t="s">
        <v>48</v>
      </c>
      <c r="B393" t="s">
        <v>677</v>
      </c>
      <c r="C393" t="s">
        <v>27</v>
      </c>
      <c r="D393" t="s">
        <v>79</v>
      </c>
      <c r="E393" s="2" t="s">
        <v>818</v>
      </c>
      <c r="F393" t="s">
        <v>676</v>
      </c>
      <c r="G393" t="s">
        <v>28</v>
      </c>
      <c r="H393" t="s">
        <v>39</v>
      </c>
      <c r="I39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39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Clarkjamie.clark267@example.comFrancePanel: Women in Tech03:30 AM4AKosherAttendee</v>
      </c>
      <c r="K393" t="str">
        <f>IF(COUNTIF(Clean_Table[Temp ID],Clean_Table[[#This Row],[Temp ID]])&gt;1,"Duplicate","Unique")</f>
        <v>Unique</v>
      </c>
      <c r="L393">
        <f>IF(Clean_Table[[#This Row],[Role]]="VIP",1,0)</f>
        <v>0</v>
      </c>
      <c r="M393">
        <f>IF(Clean_Table[[#This Row],[Role]]="Speaker",1,0)</f>
        <v>0</v>
      </c>
      <c r="N393">
        <f>IF(Clean_Table[[#This Row],[Role]]="Sponsor",1,0)</f>
        <v>0</v>
      </c>
      <c r="O393">
        <f>IF(Clean_Table[[#This Row],[Role]]="Attendee",1,0)</f>
        <v>1</v>
      </c>
      <c r="P393">
        <f>IF(Clean_Table[[#This Row],[Empty Cell Check]]="Missing",1,0)</f>
        <v>0</v>
      </c>
    </row>
    <row r="394" spans="1:16">
      <c r="A394" t="s">
        <v>190</v>
      </c>
      <c r="B394" t="s">
        <v>678</v>
      </c>
      <c r="C394" t="s">
        <v>78</v>
      </c>
      <c r="D394" t="s">
        <v>79</v>
      </c>
      <c r="E394" s="1" t="s">
        <v>854</v>
      </c>
      <c r="F394" t="s">
        <v>679</v>
      </c>
      <c r="G394" t="s">
        <v>15</v>
      </c>
      <c r="H394" t="s">
        <v>39</v>
      </c>
      <c r="I39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39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Johnsoncasey.johnson771@example.comAustraliaPanel: Women in Tech08:00 AM4CVegetarianAttendee</v>
      </c>
      <c r="K394" t="str">
        <f>IF(COUNTIF(Clean_Table[Temp ID],Clean_Table[[#This Row],[Temp ID]])&gt;1,"Duplicate","Unique")</f>
        <v>Unique</v>
      </c>
      <c r="L394">
        <f>IF(Clean_Table[[#This Row],[Role]]="VIP",1,0)</f>
        <v>0</v>
      </c>
      <c r="M394">
        <f>IF(Clean_Table[[#This Row],[Role]]="Speaker",1,0)</f>
        <v>0</v>
      </c>
      <c r="N394">
        <f>IF(Clean_Table[[#This Row],[Role]]="Sponsor",1,0)</f>
        <v>0</v>
      </c>
      <c r="O394">
        <f>IF(Clean_Table[[#This Row],[Role]]="Attendee",1,0)</f>
        <v>1</v>
      </c>
      <c r="P394">
        <f>IF(Clean_Table[[#This Row],[Empty Cell Check]]="Missing",1,0)</f>
        <v>0</v>
      </c>
    </row>
    <row r="395" spans="1:16">
      <c r="A395" t="s">
        <v>168</v>
      </c>
      <c r="B395" t="s">
        <v>680</v>
      </c>
      <c r="C395" t="s">
        <v>101</v>
      </c>
      <c r="D395" t="s">
        <v>71</v>
      </c>
      <c r="E395" s="1" t="s">
        <v>860</v>
      </c>
      <c r="F395" t="s">
        <v>679</v>
      </c>
      <c r="G395" t="s">
        <v>810</v>
      </c>
      <c r="H395" t="s">
        <v>39</v>
      </c>
      <c r="I39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9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Chris Johnsonchris.johnson63@example.comJapanWebinar: AI Ethics11:30 AM4CAttendee</v>
      </c>
      <c r="K395" t="str">
        <f>IF(COUNTIF(Clean_Table[Temp ID],Clean_Table[[#This Row],[Temp ID]])&gt;1,"Duplicate","Unique")</f>
        <v>Unique</v>
      </c>
      <c r="L395">
        <f>IF(Clean_Table[[#This Row],[Role]]="VIP",1,0)</f>
        <v>0</v>
      </c>
      <c r="M395">
        <f>IF(Clean_Table[[#This Row],[Role]]="Speaker",1,0)</f>
        <v>0</v>
      </c>
      <c r="N395">
        <f>IF(Clean_Table[[#This Row],[Role]]="Sponsor",1,0)</f>
        <v>0</v>
      </c>
      <c r="O395">
        <f>IF(Clean_Table[[#This Row],[Role]]="Attendee",1,0)</f>
        <v>1</v>
      </c>
      <c r="P395">
        <f>IF(Clean_Table[[#This Row],[Empty Cell Check]]="Missing",1,0)</f>
        <v>1</v>
      </c>
    </row>
    <row r="396" spans="1:16">
      <c r="A396" t="s">
        <v>40</v>
      </c>
      <c r="B396" t="s">
        <v>681</v>
      </c>
      <c r="C396" t="s">
        <v>34</v>
      </c>
      <c r="D396" t="s">
        <v>50</v>
      </c>
      <c r="E396" s="1" t="s">
        <v>816</v>
      </c>
      <c r="F396" t="s">
        <v>679</v>
      </c>
      <c r="G396" t="s">
        <v>810</v>
      </c>
      <c r="H396" t="s">
        <v>39</v>
      </c>
      <c r="I39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9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Drew Allendrew.allen30@example.comGermanyWorkshop: Excel Mastery01:00 PM4CAttendee</v>
      </c>
      <c r="K396" t="str">
        <f>IF(COUNTIF(Clean_Table[Temp ID],Clean_Table[[#This Row],[Temp ID]])&gt;1,"Duplicate","Unique")</f>
        <v>Unique</v>
      </c>
      <c r="L396">
        <f>IF(Clean_Table[[#This Row],[Role]]="VIP",1,0)</f>
        <v>0</v>
      </c>
      <c r="M396">
        <f>IF(Clean_Table[[#This Row],[Role]]="Speaker",1,0)</f>
        <v>0</v>
      </c>
      <c r="N396">
        <f>IF(Clean_Table[[#This Row],[Role]]="Sponsor",1,0)</f>
        <v>0</v>
      </c>
      <c r="O396">
        <f>IF(Clean_Table[[#This Row],[Role]]="Attendee",1,0)</f>
        <v>1</v>
      </c>
      <c r="P396">
        <f>IF(Clean_Table[[#This Row],[Empty Cell Check]]="Missing",1,0)</f>
        <v>1</v>
      </c>
    </row>
    <row r="397" spans="1:16">
      <c r="A397" t="s">
        <v>114</v>
      </c>
      <c r="B397" t="s">
        <v>682</v>
      </c>
      <c r="C397" t="s">
        <v>27</v>
      </c>
      <c r="D397" t="s">
        <v>45</v>
      </c>
      <c r="E397" s="2" t="s">
        <v>826</v>
      </c>
      <c r="F397" t="s">
        <v>683</v>
      </c>
      <c r="G397" t="s">
        <v>810</v>
      </c>
      <c r="H397" t="s">
        <v>39</v>
      </c>
      <c r="I39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9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Drew Wilsondrew.wilson969@example.comFranceKeynote: Future of Data02:00 PM4DAttendee</v>
      </c>
      <c r="K397" t="str">
        <f>IF(COUNTIF(Clean_Table[Temp ID],Clean_Table[[#This Row],[Temp ID]])&gt;1,"Duplicate","Unique")</f>
        <v>Unique</v>
      </c>
      <c r="L397">
        <f>IF(Clean_Table[[#This Row],[Role]]="VIP",1,0)</f>
        <v>0</v>
      </c>
      <c r="M397">
        <f>IF(Clean_Table[[#This Row],[Role]]="Speaker",1,0)</f>
        <v>0</v>
      </c>
      <c r="N397">
        <f>IF(Clean_Table[[#This Row],[Role]]="Sponsor",1,0)</f>
        <v>0</v>
      </c>
      <c r="O397">
        <f>IF(Clean_Table[[#This Row],[Role]]="Attendee",1,0)</f>
        <v>1</v>
      </c>
      <c r="P397">
        <f>IF(Clean_Table[[#This Row],[Empty Cell Check]]="Missing",1,0)</f>
        <v>1</v>
      </c>
    </row>
    <row r="398" spans="1:16">
      <c r="A398" t="s">
        <v>138</v>
      </c>
      <c r="B398" t="s">
        <v>684</v>
      </c>
      <c r="C398" t="s">
        <v>112</v>
      </c>
      <c r="D398" t="s">
        <v>13</v>
      </c>
      <c r="E398" s="1" t="s">
        <v>854</v>
      </c>
      <c r="F398" t="s">
        <v>683</v>
      </c>
      <c r="G398" t="s">
        <v>810</v>
      </c>
      <c r="H398" t="s">
        <v>39</v>
      </c>
      <c r="I39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9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Jesse Brownjesse.brown791@example.comNigeriaTraining: Dashboard Design08:00 AM4DAttendee</v>
      </c>
      <c r="K398" t="str">
        <f>IF(COUNTIF(Clean_Table[Temp ID],Clean_Table[[#This Row],[Temp ID]])&gt;1,"Duplicate","Unique")</f>
        <v>Unique</v>
      </c>
      <c r="L398">
        <f>IF(Clean_Table[[#This Row],[Role]]="VIP",1,0)</f>
        <v>0</v>
      </c>
      <c r="M398">
        <f>IF(Clean_Table[[#This Row],[Role]]="Speaker",1,0)</f>
        <v>0</v>
      </c>
      <c r="N398">
        <f>IF(Clean_Table[[#This Row],[Role]]="Sponsor",1,0)</f>
        <v>0</v>
      </c>
      <c r="O398">
        <f>IF(Clean_Table[[#This Row],[Role]]="Attendee",1,0)</f>
        <v>1</v>
      </c>
      <c r="P398">
        <f>IF(Clean_Table[[#This Row],[Empty Cell Check]]="Missing",1,0)</f>
        <v>1</v>
      </c>
    </row>
    <row r="399" spans="1:16">
      <c r="A399" t="s">
        <v>190</v>
      </c>
      <c r="B399" t="s">
        <v>685</v>
      </c>
      <c r="C399" t="s">
        <v>810</v>
      </c>
      <c r="D399" t="s">
        <v>810</v>
      </c>
      <c r="E399" s="1" t="s">
        <v>860</v>
      </c>
      <c r="F399" t="s">
        <v>686</v>
      </c>
      <c r="G399" t="s">
        <v>15</v>
      </c>
      <c r="H399" t="s">
        <v>21</v>
      </c>
      <c r="I39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39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Johnsoncasey.johnson948@example.com11:30 AM50AVegetarianSpeaker</v>
      </c>
      <c r="K399" t="str">
        <f>IF(COUNTIF(Clean_Table[Temp ID],Clean_Table[[#This Row],[Temp ID]])&gt;1,"Duplicate","Unique")</f>
        <v>Unique</v>
      </c>
      <c r="L399">
        <f>IF(Clean_Table[[#This Row],[Role]]="VIP",1,0)</f>
        <v>0</v>
      </c>
      <c r="M399">
        <f>IF(Clean_Table[[#This Row],[Role]]="Speaker",1,0)</f>
        <v>1</v>
      </c>
      <c r="N399">
        <f>IF(Clean_Table[[#This Row],[Role]]="Sponsor",1,0)</f>
        <v>0</v>
      </c>
      <c r="O399">
        <f>IF(Clean_Table[[#This Row],[Role]]="Attendee",1,0)</f>
        <v>0</v>
      </c>
      <c r="P399">
        <f>IF(Clean_Table[[#This Row],[Empty Cell Check]]="Missing",1,0)</f>
        <v>1</v>
      </c>
    </row>
    <row r="400" spans="1:16">
      <c r="A400" t="s">
        <v>197</v>
      </c>
      <c r="B400" t="s">
        <v>687</v>
      </c>
      <c r="C400" t="s">
        <v>112</v>
      </c>
      <c r="D400" t="s">
        <v>50</v>
      </c>
      <c r="E400" s="2" t="s">
        <v>829</v>
      </c>
      <c r="F400" t="s">
        <v>686</v>
      </c>
      <c r="G400" t="s">
        <v>28</v>
      </c>
      <c r="H400" t="s">
        <v>39</v>
      </c>
      <c r="I40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40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Lewisjamie.lewis584@example.comNigeriaWorkshop: Excel Mastery10:00 PM50AKosherAttendee</v>
      </c>
      <c r="K400" t="str">
        <f>IF(COUNTIF(Clean_Table[Temp ID],Clean_Table[[#This Row],[Temp ID]])&gt;1,"Duplicate","Unique")</f>
        <v>Unique</v>
      </c>
      <c r="L400">
        <f>IF(Clean_Table[[#This Row],[Role]]="VIP",1,0)</f>
        <v>0</v>
      </c>
      <c r="M400">
        <f>IF(Clean_Table[[#This Row],[Role]]="Speaker",1,0)</f>
        <v>0</v>
      </c>
      <c r="N400">
        <f>IF(Clean_Table[[#This Row],[Role]]="Sponsor",1,0)</f>
        <v>0</v>
      </c>
      <c r="O400">
        <f>IF(Clean_Table[[#This Row],[Role]]="Attendee",1,0)</f>
        <v>1</v>
      </c>
      <c r="P400">
        <f>IF(Clean_Table[[#This Row],[Empty Cell Check]]="Missing",1,0)</f>
        <v>0</v>
      </c>
    </row>
    <row r="401" spans="1:16">
      <c r="A401" t="s">
        <v>92</v>
      </c>
      <c r="B401" t="s">
        <v>688</v>
      </c>
      <c r="C401" t="s">
        <v>27</v>
      </c>
      <c r="D401" t="s">
        <v>810</v>
      </c>
      <c r="E401" s="2" t="s">
        <v>822</v>
      </c>
      <c r="F401" t="s">
        <v>686</v>
      </c>
      <c r="G401" t="s">
        <v>810</v>
      </c>
      <c r="H401" t="s">
        <v>39</v>
      </c>
      <c r="I40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40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Jordan Brownjordan.brown856@example.comFrance04:00 AM50AAttendee</v>
      </c>
      <c r="K401" t="str">
        <f>IF(COUNTIF(Clean_Table[Temp ID],Clean_Table[[#This Row],[Temp ID]])&gt;1,"Duplicate","Unique")</f>
        <v>Unique</v>
      </c>
      <c r="L401">
        <f>IF(Clean_Table[[#This Row],[Role]]="VIP",1,0)</f>
        <v>0</v>
      </c>
      <c r="M401">
        <f>IF(Clean_Table[[#This Row],[Role]]="Speaker",1,0)</f>
        <v>0</v>
      </c>
      <c r="N401">
        <f>IF(Clean_Table[[#This Row],[Role]]="Sponsor",1,0)</f>
        <v>0</v>
      </c>
      <c r="O401">
        <f>IF(Clean_Table[[#This Row],[Role]]="Attendee",1,0)</f>
        <v>1</v>
      </c>
      <c r="P401">
        <f>IF(Clean_Table[[#This Row],[Empty Cell Check]]="Missing",1,0)</f>
        <v>1</v>
      </c>
    </row>
    <row r="402" spans="1:16">
      <c r="A402" t="s">
        <v>114</v>
      </c>
      <c r="B402" t="s">
        <v>689</v>
      </c>
      <c r="C402" t="s">
        <v>112</v>
      </c>
      <c r="D402" t="s">
        <v>45</v>
      </c>
      <c r="E402" s="1" t="s">
        <v>826</v>
      </c>
      <c r="F402" t="s">
        <v>690</v>
      </c>
      <c r="G402" t="s">
        <v>15</v>
      </c>
      <c r="H402" t="s">
        <v>39</v>
      </c>
      <c r="I40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40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Drew Wilsondrew.wilson97@example.comNigeriaKeynote: Future of Data02:00 PM50BVegetarianAttendee</v>
      </c>
      <c r="K402" t="str">
        <f>IF(COUNTIF(Clean_Table[Temp ID],Clean_Table[[#This Row],[Temp ID]])&gt;1,"Duplicate","Unique")</f>
        <v>Unique</v>
      </c>
      <c r="L402">
        <f>IF(Clean_Table[[#This Row],[Role]]="VIP",1,0)</f>
        <v>0</v>
      </c>
      <c r="M402">
        <f>IF(Clean_Table[[#This Row],[Role]]="Speaker",1,0)</f>
        <v>0</v>
      </c>
      <c r="N402">
        <f>IF(Clean_Table[[#This Row],[Role]]="Sponsor",1,0)</f>
        <v>0</v>
      </c>
      <c r="O402">
        <f>IF(Clean_Table[[#This Row],[Role]]="Attendee",1,0)</f>
        <v>1</v>
      </c>
      <c r="P402">
        <f>IF(Clean_Table[[#This Row],[Empty Cell Check]]="Missing",1,0)</f>
        <v>0</v>
      </c>
    </row>
    <row r="403" spans="1:16">
      <c r="A403" t="s">
        <v>183</v>
      </c>
      <c r="B403" t="s">
        <v>691</v>
      </c>
      <c r="C403" t="s">
        <v>96</v>
      </c>
      <c r="D403" t="s">
        <v>810</v>
      </c>
      <c r="E403" s="2" t="s">
        <v>834</v>
      </c>
      <c r="F403" t="s">
        <v>690</v>
      </c>
      <c r="G403" t="s">
        <v>91</v>
      </c>
      <c r="H403" t="s">
        <v>39</v>
      </c>
      <c r="I40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40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Walkermorgan.walker717@example.comUnited Kingdom05:00 AM50BHalalAttendee</v>
      </c>
      <c r="K403" t="str">
        <f>IF(COUNTIF(Clean_Table[Temp ID],Clean_Table[[#This Row],[Temp ID]])&gt;1,"Duplicate","Unique")</f>
        <v>Unique</v>
      </c>
      <c r="L403">
        <f>IF(Clean_Table[[#This Row],[Role]]="VIP",1,0)</f>
        <v>0</v>
      </c>
      <c r="M403">
        <f>IF(Clean_Table[[#This Row],[Role]]="Speaker",1,0)</f>
        <v>0</v>
      </c>
      <c r="N403">
        <f>IF(Clean_Table[[#This Row],[Role]]="Sponsor",1,0)</f>
        <v>0</v>
      </c>
      <c r="O403">
        <f>IF(Clean_Table[[#This Row],[Role]]="Attendee",1,0)</f>
        <v>1</v>
      </c>
      <c r="P403">
        <f>IF(Clean_Table[[#This Row],[Empty Cell Check]]="Missing",1,0)</f>
        <v>1</v>
      </c>
    </row>
    <row r="404" spans="1:16">
      <c r="A404" t="s">
        <v>507</v>
      </c>
      <c r="B404" t="s">
        <v>692</v>
      </c>
      <c r="C404" t="s">
        <v>810</v>
      </c>
      <c r="D404" t="s">
        <v>45</v>
      </c>
      <c r="E404" s="1" t="s">
        <v>859</v>
      </c>
      <c r="F404" t="s">
        <v>690</v>
      </c>
      <c r="G404" t="s">
        <v>31</v>
      </c>
      <c r="H404" t="s">
        <v>39</v>
      </c>
      <c r="I40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40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Leejamie.lee321@example.comKeynote: Future of Data08:30 PM50BNoneAttendee</v>
      </c>
      <c r="K404" t="str">
        <f>IF(COUNTIF(Clean_Table[Temp ID],Clean_Table[[#This Row],[Temp ID]])&gt;1,"Duplicate","Unique")</f>
        <v>Unique</v>
      </c>
      <c r="L404">
        <f>IF(Clean_Table[[#This Row],[Role]]="VIP",1,0)</f>
        <v>0</v>
      </c>
      <c r="M404">
        <f>IF(Clean_Table[[#This Row],[Role]]="Speaker",1,0)</f>
        <v>0</v>
      </c>
      <c r="N404">
        <f>IF(Clean_Table[[#This Row],[Role]]="Sponsor",1,0)</f>
        <v>0</v>
      </c>
      <c r="O404">
        <f>IF(Clean_Table[[#This Row],[Role]]="Attendee",1,0)</f>
        <v>1</v>
      </c>
      <c r="P404">
        <f>IF(Clean_Table[[#This Row],[Empty Cell Check]]="Missing",1,0)</f>
        <v>1</v>
      </c>
    </row>
    <row r="405" spans="1:16">
      <c r="A405" t="s">
        <v>29</v>
      </c>
      <c r="B405" t="s">
        <v>693</v>
      </c>
      <c r="C405" t="s">
        <v>101</v>
      </c>
      <c r="D405" t="s">
        <v>13</v>
      </c>
      <c r="E405" s="1" t="s">
        <v>831</v>
      </c>
      <c r="F405" t="s">
        <v>694</v>
      </c>
      <c r="G405" t="s">
        <v>15</v>
      </c>
      <c r="H405" t="s">
        <v>39</v>
      </c>
      <c r="I40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40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Chris Hallchris.hall916@example.comJapanTraining: Dashboard Design06:30 PM50CVegetarianAttendee</v>
      </c>
      <c r="K405" t="str">
        <f>IF(COUNTIF(Clean_Table[Temp ID],Clean_Table[[#This Row],[Temp ID]])&gt;1,"Duplicate","Unique")</f>
        <v>Unique</v>
      </c>
      <c r="L405">
        <f>IF(Clean_Table[[#This Row],[Role]]="VIP",1,0)</f>
        <v>0</v>
      </c>
      <c r="M405">
        <f>IF(Clean_Table[[#This Row],[Role]]="Speaker",1,0)</f>
        <v>0</v>
      </c>
      <c r="N405">
        <f>IF(Clean_Table[[#This Row],[Role]]="Sponsor",1,0)</f>
        <v>0</v>
      </c>
      <c r="O405">
        <f>IF(Clean_Table[[#This Row],[Role]]="Attendee",1,0)</f>
        <v>1</v>
      </c>
      <c r="P405">
        <f>IF(Clean_Table[[#This Row],[Empty Cell Check]]="Missing",1,0)</f>
        <v>0</v>
      </c>
    </row>
    <row r="406" spans="1:16">
      <c r="A406" t="s">
        <v>307</v>
      </c>
      <c r="B406" t="s">
        <v>695</v>
      </c>
      <c r="C406" t="s">
        <v>96</v>
      </c>
      <c r="D406" t="s">
        <v>50</v>
      </c>
      <c r="E406" s="1" t="s">
        <v>824</v>
      </c>
      <c r="F406" t="s">
        <v>694</v>
      </c>
      <c r="G406" t="s">
        <v>52</v>
      </c>
      <c r="H406" t="s">
        <v>39</v>
      </c>
      <c r="I40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40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Drew Clarkdrew.clark398@example.comUnited KingdomWorkshop: Excel Mastery06:00 PM50CVeganAttendee</v>
      </c>
      <c r="K406" t="str">
        <f>IF(COUNTIF(Clean_Table[Temp ID],Clean_Table[[#This Row],[Temp ID]])&gt;1,"Duplicate","Unique")</f>
        <v>Unique</v>
      </c>
      <c r="L406">
        <f>IF(Clean_Table[[#This Row],[Role]]="VIP",1,0)</f>
        <v>0</v>
      </c>
      <c r="M406">
        <f>IF(Clean_Table[[#This Row],[Role]]="Speaker",1,0)</f>
        <v>0</v>
      </c>
      <c r="N406">
        <f>IF(Clean_Table[[#This Row],[Role]]="Sponsor",1,0)</f>
        <v>0</v>
      </c>
      <c r="O406">
        <f>IF(Clean_Table[[#This Row],[Role]]="Attendee",1,0)</f>
        <v>1</v>
      </c>
      <c r="P406">
        <f>IF(Clean_Table[[#This Row],[Empty Cell Check]]="Missing",1,0)</f>
        <v>0</v>
      </c>
    </row>
    <row r="407" spans="1:16">
      <c r="A407" t="s">
        <v>310</v>
      </c>
      <c r="B407" t="s">
        <v>696</v>
      </c>
      <c r="C407" t="s">
        <v>12</v>
      </c>
      <c r="D407" t="s">
        <v>45</v>
      </c>
      <c r="E407" s="1" t="s">
        <v>860</v>
      </c>
      <c r="F407" t="s">
        <v>697</v>
      </c>
      <c r="G407" t="s">
        <v>31</v>
      </c>
      <c r="H407" t="s">
        <v>39</v>
      </c>
      <c r="I40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40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Jesse Smithjesse.smith846@example.comUnited StatesKeynote: Future of Data11:30 AM50DNoneAttendee</v>
      </c>
      <c r="K407" t="str">
        <f>IF(COUNTIF(Clean_Table[Temp ID],Clean_Table[[#This Row],[Temp ID]])&gt;1,"Duplicate","Unique")</f>
        <v>Unique</v>
      </c>
      <c r="L407">
        <f>IF(Clean_Table[[#This Row],[Role]]="VIP",1,0)</f>
        <v>0</v>
      </c>
      <c r="M407">
        <f>IF(Clean_Table[[#This Row],[Role]]="Speaker",1,0)</f>
        <v>0</v>
      </c>
      <c r="N407">
        <f>IF(Clean_Table[[#This Row],[Role]]="Sponsor",1,0)</f>
        <v>0</v>
      </c>
      <c r="O407">
        <f>IF(Clean_Table[[#This Row],[Role]]="Attendee",1,0)</f>
        <v>1</v>
      </c>
      <c r="P407">
        <f>IF(Clean_Table[[#This Row],[Empty Cell Check]]="Missing",1,0)</f>
        <v>0</v>
      </c>
    </row>
    <row r="408" spans="1:16">
      <c r="A408" t="s">
        <v>127</v>
      </c>
      <c r="B408" t="s">
        <v>698</v>
      </c>
      <c r="C408" t="s">
        <v>810</v>
      </c>
      <c r="D408" t="s">
        <v>79</v>
      </c>
      <c r="E408" s="1" t="s">
        <v>855</v>
      </c>
      <c r="F408" t="s">
        <v>697</v>
      </c>
      <c r="G408" t="s">
        <v>810</v>
      </c>
      <c r="H408" t="s">
        <v>39</v>
      </c>
      <c r="I40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40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Lewiscasey.lewis980@example.comPanel: Women in Tech01:30 PM50DAttendee</v>
      </c>
      <c r="K408" t="str">
        <f>IF(COUNTIF(Clean_Table[Temp ID],Clean_Table[[#This Row],[Temp ID]])&gt;1,"Duplicate","Unique")</f>
        <v>Unique</v>
      </c>
      <c r="L408">
        <f>IF(Clean_Table[[#This Row],[Role]]="VIP",1,0)</f>
        <v>0</v>
      </c>
      <c r="M408">
        <f>IF(Clean_Table[[#This Row],[Role]]="Speaker",1,0)</f>
        <v>0</v>
      </c>
      <c r="N408">
        <f>IF(Clean_Table[[#This Row],[Role]]="Sponsor",1,0)</f>
        <v>0</v>
      </c>
      <c r="O408">
        <f>IF(Clean_Table[[#This Row],[Role]]="Attendee",1,0)</f>
        <v>1</v>
      </c>
      <c r="P408">
        <f>IF(Clean_Table[[#This Row],[Empty Cell Check]]="Missing",1,0)</f>
        <v>1</v>
      </c>
    </row>
    <row r="409" spans="1:16">
      <c r="A409" t="s">
        <v>119</v>
      </c>
      <c r="B409" t="s">
        <v>699</v>
      </c>
      <c r="C409" t="s">
        <v>810</v>
      </c>
      <c r="D409" t="s">
        <v>810</v>
      </c>
      <c r="E409" s="1" t="s">
        <v>837</v>
      </c>
      <c r="F409" t="s">
        <v>700</v>
      </c>
      <c r="G409" t="s">
        <v>52</v>
      </c>
      <c r="H409" t="s">
        <v>39</v>
      </c>
      <c r="I40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40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Lewismorgan.lewis382@example.com10:30 AM5AVeganAttendee</v>
      </c>
      <c r="K409" t="str">
        <f>IF(COUNTIF(Clean_Table[Temp ID],Clean_Table[[#This Row],[Temp ID]])&gt;1,"Duplicate","Unique")</f>
        <v>Unique</v>
      </c>
      <c r="L409">
        <f>IF(Clean_Table[[#This Row],[Role]]="VIP",1,0)</f>
        <v>0</v>
      </c>
      <c r="M409">
        <f>IF(Clean_Table[[#This Row],[Role]]="Speaker",1,0)</f>
        <v>0</v>
      </c>
      <c r="N409">
        <f>IF(Clean_Table[[#This Row],[Role]]="Sponsor",1,0)</f>
        <v>0</v>
      </c>
      <c r="O409">
        <f>IF(Clean_Table[[#This Row],[Role]]="Attendee",1,0)</f>
        <v>1</v>
      </c>
      <c r="P409">
        <f>IF(Clean_Table[[#This Row],[Empty Cell Check]]="Missing",1,0)</f>
        <v>1</v>
      </c>
    </row>
    <row r="410" spans="1:16">
      <c r="A410" t="s">
        <v>121</v>
      </c>
      <c r="B410" t="s">
        <v>701</v>
      </c>
      <c r="C410" t="s">
        <v>101</v>
      </c>
      <c r="D410" t="s">
        <v>810</v>
      </c>
      <c r="E410" s="1" t="s">
        <v>820</v>
      </c>
      <c r="F410" t="s">
        <v>700</v>
      </c>
      <c r="G410" t="s">
        <v>91</v>
      </c>
      <c r="H410" t="s">
        <v>39</v>
      </c>
      <c r="I41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41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Jesse Lewisjesse.lewis375@example.comJapan08:00 PM5AHalalAttendee</v>
      </c>
      <c r="K410" t="str">
        <f>IF(COUNTIF(Clean_Table[Temp ID],Clean_Table[[#This Row],[Temp ID]])&gt;1,"Duplicate","Unique")</f>
        <v>Unique</v>
      </c>
      <c r="L410">
        <f>IF(Clean_Table[[#This Row],[Role]]="VIP",1,0)</f>
        <v>0</v>
      </c>
      <c r="M410">
        <f>IF(Clean_Table[[#This Row],[Role]]="Speaker",1,0)</f>
        <v>0</v>
      </c>
      <c r="N410">
        <f>IF(Clean_Table[[#This Row],[Role]]="Sponsor",1,0)</f>
        <v>0</v>
      </c>
      <c r="O410">
        <f>IF(Clean_Table[[#This Row],[Role]]="Attendee",1,0)</f>
        <v>1</v>
      </c>
      <c r="P410">
        <f>IF(Clean_Table[[#This Row],[Empty Cell Check]]="Missing",1,0)</f>
        <v>1</v>
      </c>
    </row>
    <row r="411" spans="1:16">
      <c r="A411" t="s">
        <v>48</v>
      </c>
      <c r="B411" t="s">
        <v>702</v>
      </c>
      <c r="C411" t="s">
        <v>96</v>
      </c>
      <c r="D411" t="s">
        <v>50</v>
      </c>
      <c r="E411" s="2" t="s">
        <v>822</v>
      </c>
      <c r="F411" t="s">
        <v>700</v>
      </c>
      <c r="G411" t="s">
        <v>31</v>
      </c>
      <c r="H411" t="s">
        <v>39</v>
      </c>
      <c r="I41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41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Clarkjamie.clark903@example.comUnited KingdomWorkshop: Excel Mastery04:00 AM5ANoneAttendee</v>
      </c>
      <c r="K411" t="str">
        <f>IF(COUNTIF(Clean_Table[Temp ID],Clean_Table[[#This Row],[Temp ID]])&gt;1,"Duplicate","Unique")</f>
        <v>Unique</v>
      </c>
      <c r="L411">
        <f>IF(Clean_Table[[#This Row],[Role]]="VIP",1,0)</f>
        <v>0</v>
      </c>
      <c r="M411">
        <f>IF(Clean_Table[[#This Row],[Role]]="Speaker",1,0)</f>
        <v>0</v>
      </c>
      <c r="N411">
        <f>IF(Clean_Table[[#This Row],[Role]]="Sponsor",1,0)</f>
        <v>0</v>
      </c>
      <c r="O411">
        <f>IF(Clean_Table[[#This Row],[Role]]="Attendee",1,0)</f>
        <v>1</v>
      </c>
      <c r="P411">
        <f>IF(Clean_Table[[#This Row],[Empty Cell Check]]="Missing",1,0)</f>
        <v>0</v>
      </c>
    </row>
    <row r="412" spans="1:16">
      <c r="A412" t="s">
        <v>494</v>
      </c>
      <c r="B412" t="s">
        <v>703</v>
      </c>
      <c r="C412" t="s">
        <v>101</v>
      </c>
      <c r="D412" t="s">
        <v>13</v>
      </c>
      <c r="E412" s="1" t="s">
        <v>820</v>
      </c>
      <c r="F412" t="s">
        <v>700</v>
      </c>
      <c r="G412" t="s">
        <v>91</v>
      </c>
      <c r="H412" t="s">
        <v>39</v>
      </c>
      <c r="I41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41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Lewisriley.lewis360@example.comJapanTraining: Dashboard Design08:00 PM5AHalalAttendee</v>
      </c>
      <c r="K412" t="str">
        <f>IF(COUNTIF(Clean_Table[Temp ID],Clean_Table[[#This Row],[Temp ID]])&gt;1,"Duplicate","Unique")</f>
        <v>Unique</v>
      </c>
      <c r="L412">
        <f>IF(Clean_Table[[#This Row],[Role]]="VIP",1,0)</f>
        <v>0</v>
      </c>
      <c r="M412">
        <f>IF(Clean_Table[[#This Row],[Role]]="Speaker",1,0)</f>
        <v>0</v>
      </c>
      <c r="N412">
        <f>IF(Clean_Table[[#This Row],[Role]]="Sponsor",1,0)</f>
        <v>0</v>
      </c>
      <c r="O412">
        <f>IF(Clean_Table[[#This Row],[Role]]="Attendee",1,0)</f>
        <v>1</v>
      </c>
      <c r="P412">
        <f>IF(Clean_Table[[#This Row],[Empty Cell Check]]="Missing",1,0)</f>
        <v>0</v>
      </c>
    </row>
    <row r="413" spans="1:16">
      <c r="A413" t="s">
        <v>140</v>
      </c>
      <c r="B413" t="s">
        <v>704</v>
      </c>
      <c r="C413" t="s">
        <v>96</v>
      </c>
      <c r="D413" t="s">
        <v>71</v>
      </c>
      <c r="E413" s="2" t="s">
        <v>832</v>
      </c>
      <c r="F413" t="s">
        <v>705</v>
      </c>
      <c r="G413" t="s">
        <v>52</v>
      </c>
      <c r="H413" t="s">
        <v>39</v>
      </c>
      <c r="I41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41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Jordan Allenjordan.allen27@example.comUnited KingdomWebinar: AI Ethics12:00 PM5BVeganAttendee</v>
      </c>
      <c r="K413" t="str">
        <f>IF(COUNTIF(Clean_Table[Temp ID],Clean_Table[[#This Row],[Temp ID]])&gt;1,"Duplicate","Unique")</f>
        <v>Unique</v>
      </c>
      <c r="L413">
        <f>IF(Clean_Table[[#This Row],[Role]]="VIP",1,0)</f>
        <v>0</v>
      </c>
      <c r="M413">
        <f>IF(Clean_Table[[#This Row],[Role]]="Speaker",1,0)</f>
        <v>0</v>
      </c>
      <c r="N413">
        <f>IF(Clean_Table[[#This Row],[Role]]="Sponsor",1,0)</f>
        <v>0</v>
      </c>
      <c r="O413">
        <f>IF(Clean_Table[[#This Row],[Role]]="Attendee",1,0)</f>
        <v>1</v>
      </c>
      <c r="P413">
        <f>IF(Clean_Table[[#This Row],[Empty Cell Check]]="Missing",1,0)</f>
        <v>0</v>
      </c>
    </row>
    <row r="414" spans="1:16">
      <c r="A414" t="s">
        <v>147</v>
      </c>
      <c r="B414" t="s">
        <v>706</v>
      </c>
      <c r="C414" t="s">
        <v>810</v>
      </c>
      <c r="D414" t="s">
        <v>79</v>
      </c>
      <c r="E414" s="1" t="s">
        <v>835</v>
      </c>
      <c r="F414" t="s">
        <v>707</v>
      </c>
      <c r="G414" t="s">
        <v>31</v>
      </c>
      <c r="H414" t="s">
        <v>39</v>
      </c>
      <c r="I41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41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Browntaylor.brown513@example.comPanel: Women in Tech02:30 PM5CNoneAttendee</v>
      </c>
      <c r="K414" t="str">
        <f>IF(COUNTIF(Clean_Table[Temp ID],Clean_Table[[#This Row],[Temp ID]])&gt;1,"Duplicate","Unique")</f>
        <v>Unique</v>
      </c>
      <c r="L414">
        <f>IF(Clean_Table[[#This Row],[Role]]="VIP",1,0)</f>
        <v>0</v>
      </c>
      <c r="M414">
        <f>IF(Clean_Table[[#This Row],[Role]]="Speaker",1,0)</f>
        <v>0</v>
      </c>
      <c r="N414">
        <f>IF(Clean_Table[[#This Row],[Role]]="Sponsor",1,0)</f>
        <v>0</v>
      </c>
      <c r="O414">
        <f>IF(Clean_Table[[#This Row],[Role]]="Attendee",1,0)</f>
        <v>1</v>
      </c>
      <c r="P414">
        <f>IF(Clean_Table[[#This Row],[Empty Cell Check]]="Missing",1,0)</f>
        <v>1</v>
      </c>
    </row>
    <row r="415" spans="1:16">
      <c r="A415" t="s">
        <v>43</v>
      </c>
      <c r="B415" t="s">
        <v>708</v>
      </c>
      <c r="C415" t="s">
        <v>810</v>
      </c>
      <c r="D415" t="s">
        <v>50</v>
      </c>
      <c r="E415" s="2" t="s">
        <v>837</v>
      </c>
      <c r="F415" t="s">
        <v>707</v>
      </c>
      <c r="G415" t="s">
        <v>91</v>
      </c>
      <c r="H415" t="s">
        <v>39</v>
      </c>
      <c r="I41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41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Wilsonmorgan.wilson25@example.comWorkshop: Excel Mastery10:30 AM5CHalalAttendee</v>
      </c>
      <c r="K415" t="str">
        <f>IF(COUNTIF(Clean_Table[Temp ID],Clean_Table[[#This Row],[Temp ID]])&gt;1,"Duplicate","Unique")</f>
        <v>Unique</v>
      </c>
      <c r="L415">
        <f>IF(Clean_Table[[#This Row],[Role]]="VIP",1,0)</f>
        <v>0</v>
      </c>
      <c r="M415">
        <f>IF(Clean_Table[[#This Row],[Role]]="Speaker",1,0)</f>
        <v>0</v>
      </c>
      <c r="N415">
        <f>IF(Clean_Table[[#This Row],[Role]]="Sponsor",1,0)</f>
        <v>0</v>
      </c>
      <c r="O415">
        <f>IF(Clean_Table[[#This Row],[Role]]="Attendee",1,0)</f>
        <v>1</v>
      </c>
      <c r="P415">
        <f>IF(Clean_Table[[#This Row],[Empty Cell Check]]="Missing",1,0)</f>
        <v>1</v>
      </c>
    </row>
    <row r="416" spans="1:16">
      <c r="A416" t="s">
        <v>173</v>
      </c>
      <c r="B416" t="s">
        <v>709</v>
      </c>
      <c r="C416" t="s">
        <v>37</v>
      </c>
      <c r="D416" t="s">
        <v>810</v>
      </c>
      <c r="E416" s="1" t="s">
        <v>843</v>
      </c>
      <c r="F416" t="s">
        <v>707</v>
      </c>
      <c r="G416" t="s">
        <v>52</v>
      </c>
      <c r="H416" t="s">
        <v>39</v>
      </c>
      <c r="I41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41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Chris Allenchris.allen825@example.comCanada06:30 AM5CVeganAttendee</v>
      </c>
      <c r="K416" t="str">
        <f>IF(COUNTIF(Clean_Table[Temp ID],Clean_Table[[#This Row],[Temp ID]])&gt;1,"Duplicate","Unique")</f>
        <v>Unique</v>
      </c>
      <c r="L416">
        <f>IF(Clean_Table[[#This Row],[Role]]="VIP",1,0)</f>
        <v>0</v>
      </c>
      <c r="M416">
        <f>IF(Clean_Table[[#This Row],[Role]]="Speaker",1,0)</f>
        <v>0</v>
      </c>
      <c r="N416">
        <f>IF(Clean_Table[[#This Row],[Role]]="Sponsor",1,0)</f>
        <v>0</v>
      </c>
      <c r="O416">
        <f>IF(Clean_Table[[#This Row],[Role]]="Attendee",1,0)</f>
        <v>1</v>
      </c>
      <c r="P416">
        <f>IF(Clean_Table[[#This Row],[Empty Cell Check]]="Missing",1,0)</f>
        <v>1</v>
      </c>
    </row>
    <row r="417" spans="1:16">
      <c r="A417" t="s">
        <v>386</v>
      </c>
      <c r="B417" t="s">
        <v>710</v>
      </c>
      <c r="C417" t="s">
        <v>810</v>
      </c>
      <c r="D417" t="s">
        <v>13</v>
      </c>
      <c r="E417" s="1" t="s">
        <v>840</v>
      </c>
      <c r="F417" t="s">
        <v>711</v>
      </c>
      <c r="G417" t="s">
        <v>810</v>
      </c>
      <c r="H417" t="s">
        <v>39</v>
      </c>
      <c r="I41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41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Drew Smithdrew.smith976@example.comTraining: Dashboard Design08:30 AM5DAttendee</v>
      </c>
      <c r="K417" t="str">
        <f>IF(COUNTIF(Clean_Table[Temp ID],Clean_Table[[#This Row],[Temp ID]])&gt;1,"Duplicate","Unique")</f>
        <v>Unique</v>
      </c>
      <c r="L417">
        <f>IF(Clean_Table[[#This Row],[Role]]="VIP",1,0)</f>
        <v>0</v>
      </c>
      <c r="M417">
        <f>IF(Clean_Table[[#This Row],[Role]]="Speaker",1,0)</f>
        <v>0</v>
      </c>
      <c r="N417">
        <f>IF(Clean_Table[[#This Row],[Role]]="Sponsor",1,0)</f>
        <v>0</v>
      </c>
      <c r="O417">
        <f>IF(Clean_Table[[#This Row],[Role]]="Attendee",1,0)</f>
        <v>1</v>
      </c>
      <c r="P417">
        <f>IF(Clean_Table[[#This Row],[Empty Cell Check]]="Missing",1,0)</f>
        <v>1</v>
      </c>
    </row>
    <row r="418" spans="1:16">
      <c r="A418" t="s">
        <v>598</v>
      </c>
      <c r="B418" t="s">
        <v>712</v>
      </c>
      <c r="C418" t="s">
        <v>810</v>
      </c>
      <c r="D418" t="s">
        <v>45</v>
      </c>
      <c r="E418" s="2" t="s">
        <v>859</v>
      </c>
      <c r="F418" t="s">
        <v>711</v>
      </c>
      <c r="G418" t="s">
        <v>15</v>
      </c>
      <c r="H418" t="s">
        <v>39</v>
      </c>
      <c r="I41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41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Allenjamie.allen3@example.comKeynote: Future of Data08:30 PM5DVegetarianAttendee</v>
      </c>
      <c r="K418" t="str">
        <f>IF(COUNTIF(Clean_Table[Temp ID],Clean_Table[[#This Row],[Temp ID]])&gt;1,"Duplicate","Unique")</f>
        <v>Unique</v>
      </c>
      <c r="L418">
        <f>IF(Clean_Table[[#This Row],[Role]]="VIP",1,0)</f>
        <v>0</v>
      </c>
      <c r="M418">
        <f>IF(Clean_Table[[#This Row],[Role]]="Speaker",1,0)</f>
        <v>0</v>
      </c>
      <c r="N418">
        <f>IF(Clean_Table[[#This Row],[Role]]="Sponsor",1,0)</f>
        <v>0</v>
      </c>
      <c r="O418">
        <f>IF(Clean_Table[[#This Row],[Role]]="Attendee",1,0)</f>
        <v>1</v>
      </c>
      <c r="P418">
        <f>IF(Clean_Table[[#This Row],[Empty Cell Check]]="Missing",1,0)</f>
        <v>1</v>
      </c>
    </row>
    <row r="419" spans="1:16">
      <c r="A419" t="s">
        <v>83</v>
      </c>
      <c r="B419" t="s">
        <v>713</v>
      </c>
      <c r="C419" t="s">
        <v>810</v>
      </c>
      <c r="D419" t="s">
        <v>45</v>
      </c>
      <c r="E419" s="2" t="s">
        <v>839</v>
      </c>
      <c r="F419" t="s">
        <v>711</v>
      </c>
      <c r="G419" t="s">
        <v>91</v>
      </c>
      <c r="H419" t="s">
        <v>39</v>
      </c>
      <c r="I41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41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Chris Walkerchris.walker262@example.comKeynote: Future of Data09:00 AM5DHalalAttendee</v>
      </c>
      <c r="K419" t="str">
        <f>IF(COUNTIF(Clean_Table[Temp ID],Clean_Table[[#This Row],[Temp ID]])&gt;1,"Duplicate","Unique")</f>
        <v>Unique</v>
      </c>
      <c r="L419">
        <f>IF(Clean_Table[[#This Row],[Role]]="VIP",1,0)</f>
        <v>0</v>
      </c>
      <c r="M419">
        <f>IF(Clean_Table[[#This Row],[Role]]="Speaker",1,0)</f>
        <v>0</v>
      </c>
      <c r="N419">
        <f>IF(Clean_Table[[#This Row],[Role]]="Sponsor",1,0)</f>
        <v>0</v>
      </c>
      <c r="O419">
        <f>IF(Clean_Table[[#This Row],[Role]]="Attendee",1,0)</f>
        <v>1</v>
      </c>
      <c r="P419">
        <f>IF(Clean_Table[[#This Row],[Empty Cell Check]]="Missing",1,0)</f>
        <v>1</v>
      </c>
    </row>
    <row r="420" spans="1:16">
      <c r="A420" t="s">
        <v>396</v>
      </c>
      <c r="B420" t="s">
        <v>714</v>
      </c>
      <c r="C420" t="s">
        <v>810</v>
      </c>
      <c r="D420" t="s">
        <v>13</v>
      </c>
      <c r="E420" s="2" t="s">
        <v>846</v>
      </c>
      <c r="F420" t="s">
        <v>715</v>
      </c>
      <c r="G420" t="s">
        <v>91</v>
      </c>
      <c r="H420" t="s">
        <v>39</v>
      </c>
      <c r="I42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42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Leeriley.lee778@example.comTraining: Dashboard Design07:00 PM6AHalalAttendee</v>
      </c>
      <c r="K420" t="str">
        <f>IF(COUNTIF(Clean_Table[Temp ID],Clean_Table[[#This Row],[Temp ID]])&gt;1,"Duplicate","Unique")</f>
        <v>Unique</v>
      </c>
      <c r="L420">
        <f>IF(Clean_Table[[#This Row],[Role]]="VIP",1,0)</f>
        <v>0</v>
      </c>
      <c r="M420">
        <f>IF(Clean_Table[[#This Row],[Role]]="Speaker",1,0)</f>
        <v>0</v>
      </c>
      <c r="N420">
        <f>IF(Clean_Table[[#This Row],[Role]]="Sponsor",1,0)</f>
        <v>0</v>
      </c>
      <c r="O420">
        <f>IF(Clean_Table[[#This Row],[Role]]="Attendee",1,0)</f>
        <v>1</v>
      </c>
      <c r="P420">
        <f>IF(Clean_Table[[#This Row],[Empty Cell Check]]="Missing",1,0)</f>
        <v>1</v>
      </c>
    </row>
    <row r="421" spans="1:16">
      <c r="A421" t="s">
        <v>313</v>
      </c>
      <c r="B421" t="s">
        <v>716</v>
      </c>
      <c r="C421" t="s">
        <v>78</v>
      </c>
      <c r="D421" t="s">
        <v>13</v>
      </c>
      <c r="E421" s="1" t="s">
        <v>832</v>
      </c>
      <c r="F421" t="s">
        <v>715</v>
      </c>
      <c r="G421" t="s">
        <v>52</v>
      </c>
      <c r="H421" t="s">
        <v>39</v>
      </c>
      <c r="I42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42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Browncasey.brown383@example.comAustraliaTraining: Dashboard Design12:00 PM6AVeganAttendee</v>
      </c>
      <c r="K421" t="str">
        <f>IF(COUNTIF(Clean_Table[Temp ID],Clean_Table[[#This Row],[Temp ID]])&gt;1,"Duplicate","Unique")</f>
        <v>Unique</v>
      </c>
      <c r="L421">
        <f>IF(Clean_Table[[#This Row],[Role]]="VIP",1,0)</f>
        <v>0</v>
      </c>
      <c r="M421">
        <f>IF(Clean_Table[[#This Row],[Role]]="Speaker",1,0)</f>
        <v>0</v>
      </c>
      <c r="N421">
        <f>IF(Clean_Table[[#This Row],[Role]]="Sponsor",1,0)</f>
        <v>0</v>
      </c>
      <c r="O421">
        <f>IF(Clean_Table[[#This Row],[Role]]="Attendee",1,0)</f>
        <v>1</v>
      </c>
      <c r="P421">
        <f>IF(Clean_Table[[#This Row],[Empty Cell Check]]="Missing",1,0)</f>
        <v>0</v>
      </c>
    </row>
    <row r="422" spans="1:16">
      <c r="A422" t="s">
        <v>255</v>
      </c>
      <c r="B422" t="s">
        <v>717</v>
      </c>
      <c r="C422" t="s">
        <v>810</v>
      </c>
      <c r="D422" t="s">
        <v>50</v>
      </c>
      <c r="E422" s="1" t="s">
        <v>817</v>
      </c>
      <c r="F422" t="s">
        <v>715</v>
      </c>
      <c r="G422" t="s">
        <v>15</v>
      </c>
      <c r="H422" t="s">
        <v>39</v>
      </c>
      <c r="I42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42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Walkertaylor.walker360@example.comWorkshop: Excel Mastery07:30 AM6AVegetarianAttendee</v>
      </c>
      <c r="K422" t="str">
        <f>IF(COUNTIF(Clean_Table[Temp ID],Clean_Table[[#This Row],[Temp ID]])&gt;1,"Duplicate","Unique")</f>
        <v>Unique</v>
      </c>
      <c r="L422">
        <f>IF(Clean_Table[[#This Row],[Role]]="VIP",1,0)</f>
        <v>0</v>
      </c>
      <c r="M422">
        <f>IF(Clean_Table[[#This Row],[Role]]="Speaker",1,0)</f>
        <v>0</v>
      </c>
      <c r="N422">
        <f>IF(Clean_Table[[#This Row],[Role]]="Sponsor",1,0)</f>
        <v>0</v>
      </c>
      <c r="O422">
        <f>IF(Clean_Table[[#This Row],[Role]]="Attendee",1,0)</f>
        <v>1</v>
      </c>
      <c r="P422">
        <f>IF(Clean_Table[[#This Row],[Empty Cell Check]]="Missing",1,0)</f>
        <v>1</v>
      </c>
    </row>
    <row r="423" spans="1:16">
      <c r="A423" t="s">
        <v>234</v>
      </c>
      <c r="B423" t="s">
        <v>718</v>
      </c>
      <c r="C423" t="s">
        <v>78</v>
      </c>
      <c r="D423" t="s">
        <v>810</v>
      </c>
      <c r="E423" s="1" t="s">
        <v>820</v>
      </c>
      <c r="F423" t="s">
        <v>715</v>
      </c>
      <c r="G423" t="s">
        <v>52</v>
      </c>
      <c r="H423" t="s">
        <v>39</v>
      </c>
      <c r="I42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42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Brownjamie.brown881@example.comAustralia08:00 PM6AVeganAttendee</v>
      </c>
      <c r="K423" t="str">
        <f>IF(COUNTIF(Clean_Table[Temp ID],Clean_Table[[#This Row],[Temp ID]])&gt;1,"Duplicate","Unique")</f>
        <v>Unique</v>
      </c>
      <c r="L423">
        <f>IF(Clean_Table[[#This Row],[Role]]="VIP",1,0)</f>
        <v>0</v>
      </c>
      <c r="M423">
        <f>IF(Clean_Table[[#This Row],[Role]]="Speaker",1,0)</f>
        <v>0</v>
      </c>
      <c r="N423">
        <f>IF(Clean_Table[[#This Row],[Role]]="Sponsor",1,0)</f>
        <v>0</v>
      </c>
      <c r="O423">
        <f>IF(Clean_Table[[#This Row],[Role]]="Attendee",1,0)</f>
        <v>1</v>
      </c>
      <c r="P423">
        <f>IF(Clean_Table[[#This Row],[Empty Cell Check]]="Missing",1,0)</f>
        <v>1</v>
      </c>
    </row>
    <row r="424" spans="1:16">
      <c r="A424" t="s">
        <v>188</v>
      </c>
      <c r="B424" t="s">
        <v>719</v>
      </c>
      <c r="C424" t="s">
        <v>810</v>
      </c>
      <c r="D424" t="s">
        <v>50</v>
      </c>
      <c r="E424" s="2" t="s">
        <v>823</v>
      </c>
      <c r="F424" t="s">
        <v>720</v>
      </c>
      <c r="G424" t="s">
        <v>91</v>
      </c>
      <c r="H424" t="s">
        <v>39</v>
      </c>
      <c r="I42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42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Alex Lewisalex.lewis208@example.comWorkshop: Excel Mastery05:30 AM6CHalalAttendee</v>
      </c>
      <c r="K424" t="str">
        <f>IF(COUNTIF(Clean_Table[Temp ID],Clean_Table[[#This Row],[Temp ID]])&gt;1,"Duplicate","Unique")</f>
        <v>Unique</v>
      </c>
      <c r="L424">
        <f>IF(Clean_Table[[#This Row],[Role]]="VIP",1,0)</f>
        <v>0</v>
      </c>
      <c r="M424">
        <f>IF(Clean_Table[[#This Row],[Role]]="Speaker",1,0)</f>
        <v>0</v>
      </c>
      <c r="N424">
        <f>IF(Clean_Table[[#This Row],[Role]]="Sponsor",1,0)</f>
        <v>0</v>
      </c>
      <c r="O424">
        <f>IF(Clean_Table[[#This Row],[Role]]="Attendee",1,0)</f>
        <v>1</v>
      </c>
      <c r="P424">
        <f>IF(Clean_Table[[#This Row],[Empty Cell Check]]="Missing",1,0)</f>
        <v>1</v>
      </c>
    </row>
    <row r="425" spans="1:16">
      <c r="A425" t="s">
        <v>475</v>
      </c>
      <c r="B425" t="s">
        <v>721</v>
      </c>
      <c r="C425" t="s">
        <v>101</v>
      </c>
      <c r="D425" t="s">
        <v>50</v>
      </c>
      <c r="E425" s="2" t="s">
        <v>851</v>
      </c>
      <c r="F425" t="s">
        <v>720</v>
      </c>
      <c r="G425" t="s">
        <v>15</v>
      </c>
      <c r="H425" t="s">
        <v>39</v>
      </c>
      <c r="I42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42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Drew Browndrew.brown806@example.comJapanWorkshop: Excel Mastery05:30 PM6CVegetarianAttendee</v>
      </c>
      <c r="K425" t="str">
        <f>IF(COUNTIF(Clean_Table[Temp ID],Clean_Table[[#This Row],[Temp ID]])&gt;1,"Duplicate","Unique")</f>
        <v>Unique</v>
      </c>
      <c r="L425">
        <f>IF(Clean_Table[[#This Row],[Role]]="VIP",1,0)</f>
        <v>0</v>
      </c>
      <c r="M425">
        <f>IF(Clean_Table[[#This Row],[Role]]="Speaker",1,0)</f>
        <v>0</v>
      </c>
      <c r="N425">
        <f>IF(Clean_Table[[#This Row],[Role]]="Sponsor",1,0)</f>
        <v>0</v>
      </c>
      <c r="O425">
        <f>IF(Clean_Table[[#This Row],[Role]]="Attendee",1,0)</f>
        <v>1</v>
      </c>
      <c r="P425">
        <f>IF(Clean_Table[[#This Row],[Empty Cell Check]]="Missing",1,0)</f>
        <v>0</v>
      </c>
    </row>
    <row r="426" spans="1:16">
      <c r="A426" t="s">
        <v>66</v>
      </c>
      <c r="B426" t="s">
        <v>722</v>
      </c>
      <c r="C426" t="s">
        <v>34</v>
      </c>
      <c r="D426" t="s">
        <v>71</v>
      </c>
      <c r="E426" s="2" t="s">
        <v>825</v>
      </c>
      <c r="F426" t="s">
        <v>720</v>
      </c>
      <c r="G426" t="s">
        <v>810</v>
      </c>
      <c r="H426" t="s">
        <v>39</v>
      </c>
      <c r="I42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42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Allencasey.allen843@example.comGermanyWebinar: AI Ethics10:00 AM6CAttendee</v>
      </c>
      <c r="K426" t="str">
        <f>IF(COUNTIF(Clean_Table[Temp ID],Clean_Table[[#This Row],[Temp ID]])&gt;1,"Duplicate","Unique")</f>
        <v>Unique</v>
      </c>
      <c r="L426">
        <f>IF(Clean_Table[[#This Row],[Role]]="VIP",1,0)</f>
        <v>0</v>
      </c>
      <c r="M426">
        <f>IF(Clean_Table[[#This Row],[Role]]="Speaker",1,0)</f>
        <v>0</v>
      </c>
      <c r="N426">
        <f>IF(Clean_Table[[#This Row],[Role]]="Sponsor",1,0)</f>
        <v>0</v>
      </c>
      <c r="O426">
        <f>IF(Clean_Table[[#This Row],[Role]]="Attendee",1,0)</f>
        <v>1</v>
      </c>
      <c r="P426">
        <f>IF(Clean_Table[[#This Row],[Empty Cell Check]]="Missing",1,0)</f>
        <v>1</v>
      </c>
    </row>
    <row r="427" spans="1:16">
      <c r="A427" t="s">
        <v>188</v>
      </c>
      <c r="B427" t="s">
        <v>723</v>
      </c>
      <c r="C427" t="s">
        <v>78</v>
      </c>
      <c r="D427" t="s">
        <v>71</v>
      </c>
      <c r="E427" s="2" t="s">
        <v>817</v>
      </c>
      <c r="F427" t="s">
        <v>720</v>
      </c>
      <c r="G427" t="s">
        <v>15</v>
      </c>
      <c r="H427" t="s">
        <v>39</v>
      </c>
      <c r="I42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42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Alex Lewisalex.lewis55@example.comAustraliaWebinar: AI Ethics07:30 AM6CVegetarianAttendee</v>
      </c>
      <c r="K427" t="str">
        <f>IF(COUNTIF(Clean_Table[Temp ID],Clean_Table[[#This Row],[Temp ID]])&gt;1,"Duplicate","Unique")</f>
        <v>Unique</v>
      </c>
      <c r="L427">
        <f>IF(Clean_Table[[#This Row],[Role]]="VIP",1,0)</f>
        <v>0</v>
      </c>
      <c r="M427">
        <f>IF(Clean_Table[[#This Row],[Role]]="Speaker",1,0)</f>
        <v>0</v>
      </c>
      <c r="N427">
        <f>IF(Clean_Table[[#This Row],[Role]]="Sponsor",1,0)</f>
        <v>0</v>
      </c>
      <c r="O427">
        <f>IF(Clean_Table[[#This Row],[Role]]="Attendee",1,0)</f>
        <v>1</v>
      </c>
      <c r="P427">
        <f>IF(Clean_Table[[#This Row],[Empty Cell Check]]="Missing",1,0)</f>
        <v>0</v>
      </c>
    </row>
    <row r="428" spans="1:16">
      <c r="A428" t="s">
        <v>288</v>
      </c>
      <c r="B428" t="s">
        <v>724</v>
      </c>
      <c r="C428" t="s">
        <v>112</v>
      </c>
      <c r="D428" t="s">
        <v>45</v>
      </c>
      <c r="E428" s="2" t="s">
        <v>814</v>
      </c>
      <c r="F428" t="s">
        <v>720</v>
      </c>
      <c r="G428" t="s">
        <v>91</v>
      </c>
      <c r="H428" t="s">
        <v>39</v>
      </c>
      <c r="I42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42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Alex Johnsonalex.johnson808@example.comNigeriaKeynote: Future of Data11:00 PM6CHalalAttendee</v>
      </c>
      <c r="K428" t="str">
        <f>IF(COUNTIF(Clean_Table[Temp ID],Clean_Table[[#This Row],[Temp ID]])&gt;1,"Duplicate","Unique")</f>
        <v>Unique</v>
      </c>
      <c r="L428">
        <f>IF(Clean_Table[[#This Row],[Role]]="VIP",1,0)</f>
        <v>0</v>
      </c>
      <c r="M428">
        <f>IF(Clean_Table[[#This Row],[Role]]="Speaker",1,0)</f>
        <v>0</v>
      </c>
      <c r="N428">
        <f>IF(Clean_Table[[#This Row],[Role]]="Sponsor",1,0)</f>
        <v>0</v>
      </c>
      <c r="O428">
        <f>IF(Clean_Table[[#This Row],[Role]]="Attendee",1,0)</f>
        <v>1</v>
      </c>
      <c r="P428">
        <f>IF(Clean_Table[[#This Row],[Empty Cell Check]]="Missing",1,0)</f>
        <v>0</v>
      </c>
    </row>
    <row r="429" spans="1:16">
      <c r="A429" t="s">
        <v>127</v>
      </c>
      <c r="B429" t="s">
        <v>725</v>
      </c>
      <c r="C429" t="s">
        <v>101</v>
      </c>
      <c r="D429" t="s">
        <v>13</v>
      </c>
      <c r="E429" s="1" t="s">
        <v>842</v>
      </c>
      <c r="F429" t="s">
        <v>726</v>
      </c>
      <c r="G429" t="s">
        <v>810</v>
      </c>
      <c r="H429" t="s">
        <v>39</v>
      </c>
      <c r="I42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42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Casey Lewiscasey.lewis387@example.comJapanTraining: Dashboard Design11:00 AM6DAttendee</v>
      </c>
      <c r="K429" t="str">
        <f>IF(COUNTIF(Clean_Table[Temp ID],Clean_Table[[#This Row],[Temp ID]])&gt;1,"Duplicate","Unique")</f>
        <v>Unique</v>
      </c>
      <c r="L429">
        <f>IF(Clean_Table[[#This Row],[Role]]="VIP",1,0)</f>
        <v>0</v>
      </c>
      <c r="M429">
        <f>IF(Clean_Table[[#This Row],[Role]]="Speaker",1,0)</f>
        <v>0</v>
      </c>
      <c r="N429">
        <f>IF(Clean_Table[[#This Row],[Role]]="Sponsor",1,0)</f>
        <v>0</v>
      </c>
      <c r="O429">
        <f>IF(Clean_Table[[#This Row],[Role]]="Attendee",1,0)</f>
        <v>1</v>
      </c>
      <c r="P429">
        <f>IF(Clean_Table[[#This Row],[Empty Cell Check]]="Missing",1,0)</f>
        <v>1</v>
      </c>
    </row>
    <row r="430" spans="1:16">
      <c r="A430" t="s">
        <v>494</v>
      </c>
      <c r="B430" t="s">
        <v>727</v>
      </c>
      <c r="C430" t="s">
        <v>34</v>
      </c>
      <c r="D430" t="s">
        <v>13</v>
      </c>
      <c r="E430" s="2" t="s">
        <v>860</v>
      </c>
      <c r="F430" t="s">
        <v>726</v>
      </c>
      <c r="G430" t="s">
        <v>52</v>
      </c>
      <c r="H430" t="s">
        <v>39</v>
      </c>
      <c r="I43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43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Riley Lewisriley.lewis348@example.comGermanyTraining: Dashboard Design11:30 AM6DVeganAttendee</v>
      </c>
      <c r="K430" t="str">
        <f>IF(COUNTIF(Clean_Table[Temp ID],Clean_Table[[#This Row],[Temp ID]])&gt;1,"Duplicate","Unique")</f>
        <v>Unique</v>
      </c>
      <c r="L430">
        <f>IF(Clean_Table[[#This Row],[Role]]="VIP",1,0)</f>
        <v>0</v>
      </c>
      <c r="M430">
        <f>IF(Clean_Table[[#This Row],[Role]]="Speaker",1,0)</f>
        <v>0</v>
      </c>
      <c r="N430">
        <f>IF(Clean_Table[[#This Row],[Role]]="Sponsor",1,0)</f>
        <v>0</v>
      </c>
      <c r="O430">
        <f>IF(Clean_Table[[#This Row],[Role]]="Attendee",1,0)</f>
        <v>1</v>
      </c>
      <c r="P430">
        <f>IF(Clean_Table[[#This Row],[Empty Cell Check]]="Missing",1,0)</f>
        <v>0</v>
      </c>
    </row>
    <row r="431" spans="1:16">
      <c r="A431" t="s">
        <v>73</v>
      </c>
      <c r="B431" t="s">
        <v>728</v>
      </c>
      <c r="C431" t="s">
        <v>96</v>
      </c>
      <c r="D431" t="s">
        <v>79</v>
      </c>
      <c r="E431" s="2" t="s">
        <v>816</v>
      </c>
      <c r="F431" t="s">
        <v>729</v>
      </c>
      <c r="G431" t="s">
        <v>52</v>
      </c>
      <c r="H431" t="s">
        <v>39</v>
      </c>
      <c r="I43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43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Smithtaylor.smith873@example.comUnited KingdomPanel: Women in Tech01:00 PM7AVeganAttendee</v>
      </c>
      <c r="K431" t="str">
        <f>IF(COUNTIF(Clean_Table[Temp ID],Clean_Table[[#This Row],[Temp ID]])&gt;1,"Duplicate","Unique")</f>
        <v>Unique</v>
      </c>
      <c r="L431">
        <f>IF(Clean_Table[[#This Row],[Role]]="VIP",1,0)</f>
        <v>0</v>
      </c>
      <c r="M431">
        <f>IF(Clean_Table[[#This Row],[Role]]="Speaker",1,0)</f>
        <v>0</v>
      </c>
      <c r="N431">
        <f>IF(Clean_Table[[#This Row],[Role]]="Sponsor",1,0)</f>
        <v>0</v>
      </c>
      <c r="O431">
        <f>IF(Clean_Table[[#This Row],[Role]]="Attendee",1,0)</f>
        <v>1</v>
      </c>
      <c r="P431">
        <f>IF(Clean_Table[[#This Row],[Empty Cell Check]]="Missing",1,0)</f>
        <v>0</v>
      </c>
    </row>
    <row r="432" spans="1:16">
      <c r="A432" t="s">
        <v>475</v>
      </c>
      <c r="B432" t="s">
        <v>730</v>
      </c>
      <c r="C432" t="s">
        <v>68</v>
      </c>
      <c r="D432" t="s">
        <v>13</v>
      </c>
      <c r="E432" s="1" t="s">
        <v>851</v>
      </c>
      <c r="F432" t="s">
        <v>729</v>
      </c>
      <c r="G432" t="s">
        <v>91</v>
      </c>
      <c r="H432" t="s">
        <v>39</v>
      </c>
      <c r="I43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43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Drew Browndrew.brown327@example.comIndiaTraining: Dashboard Design05:30 PM7AHalalAttendee</v>
      </c>
      <c r="K432" t="str">
        <f>IF(COUNTIF(Clean_Table[Temp ID],Clean_Table[[#This Row],[Temp ID]])&gt;1,"Duplicate","Unique")</f>
        <v>Unique</v>
      </c>
      <c r="L432">
        <f>IF(Clean_Table[[#This Row],[Role]]="VIP",1,0)</f>
        <v>0</v>
      </c>
      <c r="M432">
        <f>IF(Clean_Table[[#This Row],[Role]]="Speaker",1,0)</f>
        <v>0</v>
      </c>
      <c r="N432">
        <f>IF(Clean_Table[[#This Row],[Role]]="Sponsor",1,0)</f>
        <v>0</v>
      </c>
      <c r="O432">
        <f>IF(Clean_Table[[#This Row],[Role]]="Attendee",1,0)</f>
        <v>1</v>
      </c>
      <c r="P432">
        <f>IF(Clean_Table[[#This Row],[Empty Cell Check]]="Missing",1,0)</f>
        <v>0</v>
      </c>
    </row>
    <row r="433" spans="1:16">
      <c r="A433" t="s">
        <v>274</v>
      </c>
      <c r="B433" t="s">
        <v>731</v>
      </c>
      <c r="C433" t="s">
        <v>810</v>
      </c>
      <c r="D433" t="s">
        <v>810</v>
      </c>
      <c r="E433" s="1" t="s">
        <v>815</v>
      </c>
      <c r="F433" t="s">
        <v>729</v>
      </c>
      <c r="G433" t="s">
        <v>52</v>
      </c>
      <c r="H433" t="s">
        <v>39</v>
      </c>
      <c r="I43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43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Chris Leechris.lee390@example.com12:30 PM7AVeganAttendee</v>
      </c>
      <c r="K433" t="str">
        <f>IF(COUNTIF(Clean_Table[Temp ID],Clean_Table[[#This Row],[Temp ID]])&gt;1,"Duplicate","Unique")</f>
        <v>Unique</v>
      </c>
      <c r="L433">
        <f>IF(Clean_Table[[#This Row],[Role]]="VIP",1,0)</f>
        <v>0</v>
      </c>
      <c r="M433">
        <f>IF(Clean_Table[[#This Row],[Role]]="Speaker",1,0)</f>
        <v>0</v>
      </c>
      <c r="N433">
        <f>IF(Clean_Table[[#This Row],[Role]]="Sponsor",1,0)</f>
        <v>0</v>
      </c>
      <c r="O433">
        <f>IF(Clean_Table[[#This Row],[Role]]="Attendee",1,0)</f>
        <v>1</v>
      </c>
      <c r="P433">
        <f>IF(Clean_Table[[#This Row],[Empty Cell Check]]="Missing",1,0)</f>
        <v>1</v>
      </c>
    </row>
    <row r="434" spans="1:16">
      <c r="A434" t="s">
        <v>64</v>
      </c>
      <c r="B434" t="s">
        <v>732</v>
      </c>
      <c r="C434" t="s">
        <v>55</v>
      </c>
      <c r="D434" t="s">
        <v>45</v>
      </c>
      <c r="E434" s="2" t="s">
        <v>848</v>
      </c>
      <c r="F434" t="s">
        <v>733</v>
      </c>
      <c r="G434" t="s">
        <v>31</v>
      </c>
      <c r="H434" t="s">
        <v>39</v>
      </c>
      <c r="I43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43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Smithjamie.smith974@example.comBrazilKeynote: Future of Data11:30 PM7BNoneAttendee</v>
      </c>
      <c r="K434" t="str">
        <f>IF(COUNTIF(Clean_Table[Temp ID],Clean_Table[[#This Row],[Temp ID]])&gt;1,"Duplicate","Unique")</f>
        <v>Unique</v>
      </c>
      <c r="L434">
        <f>IF(Clean_Table[[#This Row],[Role]]="VIP",1,0)</f>
        <v>0</v>
      </c>
      <c r="M434">
        <f>IF(Clean_Table[[#This Row],[Role]]="Speaker",1,0)</f>
        <v>0</v>
      </c>
      <c r="N434">
        <f>IF(Clean_Table[[#This Row],[Role]]="Sponsor",1,0)</f>
        <v>0</v>
      </c>
      <c r="O434">
        <f>IF(Clean_Table[[#This Row],[Role]]="Attendee",1,0)</f>
        <v>1</v>
      </c>
      <c r="P434">
        <f>IF(Clean_Table[[#This Row],[Empty Cell Check]]="Missing",1,0)</f>
        <v>0</v>
      </c>
    </row>
    <row r="435" spans="1:16">
      <c r="A435" t="s">
        <v>598</v>
      </c>
      <c r="B435" t="s">
        <v>734</v>
      </c>
      <c r="C435" t="s">
        <v>810</v>
      </c>
      <c r="D435" t="s">
        <v>810</v>
      </c>
      <c r="E435" s="2" t="s">
        <v>845</v>
      </c>
      <c r="F435" t="s">
        <v>735</v>
      </c>
      <c r="G435" t="s">
        <v>91</v>
      </c>
      <c r="H435" t="s">
        <v>39</v>
      </c>
      <c r="I43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43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Allenjamie.allen54@example.com02:30 AM7DHalalAttendee</v>
      </c>
      <c r="K435" t="str">
        <f>IF(COUNTIF(Clean_Table[Temp ID],Clean_Table[[#This Row],[Temp ID]])&gt;1,"Duplicate","Unique")</f>
        <v>Unique</v>
      </c>
      <c r="L435">
        <f>IF(Clean_Table[[#This Row],[Role]]="VIP",1,0)</f>
        <v>0</v>
      </c>
      <c r="M435">
        <f>IF(Clean_Table[[#This Row],[Role]]="Speaker",1,0)</f>
        <v>0</v>
      </c>
      <c r="N435">
        <f>IF(Clean_Table[[#This Row],[Role]]="Sponsor",1,0)</f>
        <v>0</v>
      </c>
      <c r="O435">
        <f>IF(Clean_Table[[#This Row],[Role]]="Attendee",1,0)</f>
        <v>1</v>
      </c>
      <c r="P435">
        <f>IF(Clean_Table[[#This Row],[Empty Cell Check]]="Missing",1,0)</f>
        <v>1</v>
      </c>
    </row>
    <row r="436" spans="1:16">
      <c r="A436" t="s">
        <v>64</v>
      </c>
      <c r="B436" t="s">
        <v>736</v>
      </c>
      <c r="C436" t="s">
        <v>96</v>
      </c>
      <c r="D436" t="s">
        <v>13</v>
      </c>
      <c r="E436" s="2" t="s">
        <v>839</v>
      </c>
      <c r="F436" t="s">
        <v>735</v>
      </c>
      <c r="G436" t="s">
        <v>15</v>
      </c>
      <c r="H436" t="s">
        <v>39</v>
      </c>
      <c r="I43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43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Smithjamie.smith52@example.comUnited KingdomTraining: Dashboard Design09:00 AM7DVegetarianAttendee</v>
      </c>
      <c r="K436" t="str">
        <f>IF(COUNTIF(Clean_Table[Temp ID],Clean_Table[[#This Row],[Temp ID]])&gt;1,"Duplicate","Unique")</f>
        <v>Unique</v>
      </c>
      <c r="L436">
        <f>IF(Clean_Table[[#This Row],[Role]]="VIP",1,0)</f>
        <v>0</v>
      </c>
      <c r="M436">
        <f>IF(Clean_Table[[#This Row],[Role]]="Speaker",1,0)</f>
        <v>0</v>
      </c>
      <c r="N436">
        <f>IF(Clean_Table[[#This Row],[Role]]="Sponsor",1,0)</f>
        <v>0</v>
      </c>
      <c r="O436">
        <f>IF(Clean_Table[[#This Row],[Role]]="Attendee",1,0)</f>
        <v>1</v>
      </c>
      <c r="P436">
        <f>IF(Clean_Table[[#This Row],[Empty Cell Check]]="Missing",1,0)</f>
        <v>0</v>
      </c>
    </row>
    <row r="437" spans="1:16">
      <c r="A437" t="s">
        <v>389</v>
      </c>
      <c r="B437" t="s">
        <v>737</v>
      </c>
      <c r="C437" t="s">
        <v>810</v>
      </c>
      <c r="D437" t="s">
        <v>13</v>
      </c>
      <c r="E437" s="2" t="s">
        <v>850</v>
      </c>
      <c r="F437" t="s">
        <v>738</v>
      </c>
      <c r="G437" t="s">
        <v>810</v>
      </c>
      <c r="H437" t="s">
        <v>39</v>
      </c>
      <c r="I43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43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Johnsontaylor.johnson166@example.comTraining: Dashboard Design05:00 PM8AAttendee</v>
      </c>
      <c r="K437" t="str">
        <f>IF(COUNTIF(Clean_Table[Temp ID],Clean_Table[[#This Row],[Temp ID]])&gt;1,"Duplicate","Unique")</f>
        <v>Unique</v>
      </c>
      <c r="L437">
        <f>IF(Clean_Table[[#This Row],[Role]]="VIP",1,0)</f>
        <v>0</v>
      </c>
      <c r="M437">
        <f>IF(Clean_Table[[#This Row],[Role]]="Speaker",1,0)</f>
        <v>0</v>
      </c>
      <c r="N437">
        <f>IF(Clean_Table[[#This Row],[Role]]="Sponsor",1,0)</f>
        <v>0</v>
      </c>
      <c r="O437">
        <f>IF(Clean_Table[[#This Row],[Role]]="Attendee",1,0)</f>
        <v>1</v>
      </c>
      <c r="P437">
        <f>IF(Clean_Table[[#This Row],[Empty Cell Check]]="Missing",1,0)</f>
        <v>1</v>
      </c>
    </row>
    <row r="438" spans="1:16">
      <c r="A438" t="s">
        <v>180</v>
      </c>
      <c r="B438" t="s">
        <v>739</v>
      </c>
      <c r="C438" t="s">
        <v>96</v>
      </c>
      <c r="D438" t="s">
        <v>810</v>
      </c>
      <c r="E438" s="1" t="s">
        <v>818</v>
      </c>
      <c r="F438" t="s">
        <v>738</v>
      </c>
      <c r="G438" t="s">
        <v>15</v>
      </c>
      <c r="H438" t="s">
        <v>39</v>
      </c>
      <c r="I43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43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Allentaylor.allen3@example.comUnited Kingdom03:30 AM8AVegetarianAttendee</v>
      </c>
      <c r="K438" t="str">
        <f>IF(COUNTIF(Clean_Table[Temp ID],Clean_Table[[#This Row],[Temp ID]])&gt;1,"Duplicate","Unique")</f>
        <v>Unique</v>
      </c>
      <c r="L438">
        <f>IF(Clean_Table[[#This Row],[Role]]="VIP",1,0)</f>
        <v>0</v>
      </c>
      <c r="M438">
        <f>IF(Clean_Table[[#This Row],[Role]]="Speaker",1,0)</f>
        <v>0</v>
      </c>
      <c r="N438">
        <f>IF(Clean_Table[[#This Row],[Role]]="Sponsor",1,0)</f>
        <v>0</v>
      </c>
      <c r="O438">
        <f>IF(Clean_Table[[#This Row],[Role]]="Attendee",1,0)</f>
        <v>1</v>
      </c>
      <c r="P438">
        <f>IF(Clean_Table[[#This Row],[Empty Cell Check]]="Missing",1,0)</f>
        <v>1</v>
      </c>
    </row>
    <row r="439" spans="1:16">
      <c r="A439" t="s">
        <v>197</v>
      </c>
      <c r="B439" t="s">
        <v>740</v>
      </c>
      <c r="C439" t="s">
        <v>101</v>
      </c>
      <c r="D439" t="s">
        <v>79</v>
      </c>
      <c r="E439" s="1" t="s">
        <v>859</v>
      </c>
      <c r="F439" t="s">
        <v>738</v>
      </c>
      <c r="G439" t="s">
        <v>15</v>
      </c>
      <c r="H439" t="s">
        <v>39</v>
      </c>
      <c r="I43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43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Lewisjamie.lewis124@example.comJapanPanel: Women in Tech08:30 PM8AVegetarianAttendee</v>
      </c>
      <c r="K439" t="str">
        <f>IF(COUNTIF(Clean_Table[Temp ID],Clean_Table[[#This Row],[Temp ID]])&gt;1,"Duplicate","Unique")</f>
        <v>Unique</v>
      </c>
      <c r="L439">
        <f>IF(Clean_Table[[#This Row],[Role]]="VIP",1,0)</f>
        <v>0</v>
      </c>
      <c r="M439">
        <f>IF(Clean_Table[[#This Row],[Role]]="Speaker",1,0)</f>
        <v>0</v>
      </c>
      <c r="N439">
        <f>IF(Clean_Table[[#This Row],[Role]]="Sponsor",1,0)</f>
        <v>0</v>
      </c>
      <c r="O439">
        <f>IF(Clean_Table[[#This Row],[Role]]="Attendee",1,0)</f>
        <v>1</v>
      </c>
      <c r="P439">
        <f>IF(Clean_Table[[#This Row],[Empty Cell Check]]="Missing",1,0)</f>
        <v>0</v>
      </c>
    </row>
    <row r="440" spans="1:16">
      <c r="A440" t="s">
        <v>40</v>
      </c>
      <c r="B440" t="s">
        <v>741</v>
      </c>
      <c r="C440" t="s">
        <v>112</v>
      </c>
      <c r="D440" t="s">
        <v>810</v>
      </c>
      <c r="E440" s="2" t="s">
        <v>849</v>
      </c>
      <c r="F440" t="s">
        <v>738</v>
      </c>
      <c r="G440" t="s">
        <v>810</v>
      </c>
      <c r="H440" t="s">
        <v>39</v>
      </c>
      <c r="I44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44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Drew Allendrew.allen615@example.comNigeria10:30 PM8AAttendee</v>
      </c>
      <c r="K440" t="str">
        <f>IF(COUNTIF(Clean_Table[Temp ID],Clean_Table[[#This Row],[Temp ID]])&gt;1,"Duplicate","Unique")</f>
        <v>Unique</v>
      </c>
      <c r="L440">
        <f>IF(Clean_Table[[#This Row],[Role]]="VIP",1,0)</f>
        <v>0</v>
      </c>
      <c r="M440">
        <f>IF(Clean_Table[[#This Row],[Role]]="Speaker",1,0)</f>
        <v>0</v>
      </c>
      <c r="N440">
        <f>IF(Clean_Table[[#This Row],[Role]]="Sponsor",1,0)</f>
        <v>0</v>
      </c>
      <c r="O440">
        <f>IF(Clean_Table[[#This Row],[Role]]="Attendee",1,0)</f>
        <v>1</v>
      </c>
      <c r="P440">
        <f>IF(Clean_Table[[#This Row],[Empty Cell Check]]="Missing",1,0)</f>
        <v>1</v>
      </c>
    </row>
    <row r="441" spans="1:16">
      <c r="A441" t="s">
        <v>108</v>
      </c>
      <c r="B441" t="s">
        <v>742</v>
      </c>
      <c r="C441" t="s">
        <v>810</v>
      </c>
      <c r="D441" t="s">
        <v>79</v>
      </c>
      <c r="E441" s="2" t="s">
        <v>845</v>
      </c>
      <c r="F441" t="s">
        <v>738</v>
      </c>
      <c r="G441" t="s">
        <v>15</v>
      </c>
      <c r="H441" t="s">
        <v>39</v>
      </c>
      <c r="I44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44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Wilsonjamie.wilson427@example.comPanel: Women in Tech02:30 AM8AVegetarianAttendee</v>
      </c>
      <c r="K441" t="str">
        <f>IF(COUNTIF(Clean_Table[Temp ID],Clean_Table[[#This Row],[Temp ID]])&gt;1,"Duplicate","Unique")</f>
        <v>Unique</v>
      </c>
      <c r="L441">
        <f>IF(Clean_Table[[#This Row],[Role]]="VIP",1,0)</f>
        <v>0</v>
      </c>
      <c r="M441">
        <f>IF(Clean_Table[[#This Row],[Role]]="Speaker",1,0)</f>
        <v>0</v>
      </c>
      <c r="N441">
        <f>IF(Clean_Table[[#This Row],[Role]]="Sponsor",1,0)</f>
        <v>0</v>
      </c>
      <c r="O441">
        <f>IF(Clean_Table[[#This Row],[Role]]="Attendee",1,0)</f>
        <v>1</v>
      </c>
      <c r="P441">
        <f>IF(Clean_Table[[#This Row],[Empty Cell Check]]="Missing",1,0)</f>
        <v>1</v>
      </c>
    </row>
    <row r="442" spans="1:16">
      <c r="A442" t="s">
        <v>177</v>
      </c>
      <c r="B442" t="s">
        <v>743</v>
      </c>
      <c r="C442" t="s">
        <v>112</v>
      </c>
      <c r="D442" t="s">
        <v>810</v>
      </c>
      <c r="E442" s="2" t="s">
        <v>859</v>
      </c>
      <c r="F442" t="s">
        <v>744</v>
      </c>
      <c r="G442" t="s">
        <v>52</v>
      </c>
      <c r="H442" t="s">
        <v>39</v>
      </c>
      <c r="I442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442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Brownmorgan.brown651@example.comNigeria08:30 PM8BVeganAttendee</v>
      </c>
      <c r="K442" t="str">
        <f>IF(COUNTIF(Clean_Table[Temp ID],Clean_Table[[#This Row],[Temp ID]])&gt;1,"Duplicate","Unique")</f>
        <v>Unique</v>
      </c>
      <c r="L442">
        <f>IF(Clean_Table[[#This Row],[Role]]="VIP",1,0)</f>
        <v>0</v>
      </c>
      <c r="M442">
        <f>IF(Clean_Table[[#This Row],[Role]]="Speaker",1,0)</f>
        <v>0</v>
      </c>
      <c r="N442">
        <f>IF(Clean_Table[[#This Row],[Role]]="Sponsor",1,0)</f>
        <v>0</v>
      </c>
      <c r="O442">
        <f>IF(Clean_Table[[#This Row],[Role]]="Attendee",1,0)</f>
        <v>1</v>
      </c>
      <c r="P442">
        <f>IF(Clean_Table[[#This Row],[Empty Cell Check]]="Missing",1,0)</f>
        <v>1</v>
      </c>
    </row>
    <row r="443" spans="1:16">
      <c r="A443" t="s">
        <v>35</v>
      </c>
      <c r="B443" t="s">
        <v>745</v>
      </c>
      <c r="C443" t="s">
        <v>101</v>
      </c>
      <c r="D443" t="s">
        <v>45</v>
      </c>
      <c r="E443" s="2" t="s">
        <v>836</v>
      </c>
      <c r="F443" t="s">
        <v>746</v>
      </c>
      <c r="G443" t="s">
        <v>810</v>
      </c>
      <c r="H443" t="s">
        <v>39</v>
      </c>
      <c r="I443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443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Halltaylor.hall977@example.comJapanKeynote: Future of Data03:00 PM8CAttendee</v>
      </c>
      <c r="K443" t="str">
        <f>IF(COUNTIF(Clean_Table[Temp ID],Clean_Table[[#This Row],[Temp ID]])&gt;1,"Duplicate","Unique")</f>
        <v>Unique</v>
      </c>
      <c r="L443">
        <f>IF(Clean_Table[[#This Row],[Role]]="VIP",1,0)</f>
        <v>0</v>
      </c>
      <c r="M443">
        <f>IF(Clean_Table[[#This Row],[Role]]="Speaker",1,0)</f>
        <v>0</v>
      </c>
      <c r="N443">
        <f>IF(Clean_Table[[#This Row],[Role]]="Sponsor",1,0)</f>
        <v>0</v>
      </c>
      <c r="O443">
        <f>IF(Clean_Table[[#This Row],[Role]]="Attendee",1,0)</f>
        <v>1</v>
      </c>
      <c r="P443">
        <f>IF(Clean_Table[[#This Row],[Empty Cell Check]]="Missing",1,0)</f>
        <v>1</v>
      </c>
    </row>
    <row r="444" spans="1:16">
      <c r="A444" t="s">
        <v>257</v>
      </c>
      <c r="B444" t="s">
        <v>747</v>
      </c>
      <c r="C444" t="s">
        <v>810</v>
      </c>
      <c r="D444" t="s">
        <v>71</v>
      </c>
      <c r="E444" s="1" t="s">
        <v>855</v>
      </c>
      <c r="F444" t="s">
        <v>748</v>
      </c>
      <c r="G444" t="s">
        <v>91</v>
      </c>
      <c r="H444" t="s">
        <v>39</v>
      </c>
      <c r="I444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444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Walkerjamie.walker247@example.comWebinar: AI Ethics01:30 PM8DHalalAttendee</v>
      </c>
      <c r="K444" t="str">
        <f>IF(COUNTIF(Clean_Table[Temp ID],Clean_Table[[#This Row],[Temp ID]])&gt;1,"Duplicate","Unique")</f>
        <v>Unique</v>
      </c>
      <c r="L444">
        <f>IF(Clean_Table[[#This Row],[Role]]="VIP",1,0)</f>
        <v>0</v>
      </c>
      <c r="M444">
        <f>IF(Clean_Table[[#This Row],[Role]]="Speaker",1,0)</f>
        <v>0</v>
      </c>
      <c r="N444">
        <f>IF(Clean_Table[[#This Row],[Role]]="Sponsor",1,0)</f>
        <v>0</v>
      </c>
      <c r="O444">
        <f>IF(Clean_Table[[#This Row],[Role]]="Attendee",1,0)</f>
        <v>1</v>
      </c>
      <c r="P444">
        <f>IF(Clean_Table[[#This Row],[Empty Cell Check]]="Missing",1,0)</f>
        <v>1</v>
      </c>
    </row>
    <row r="445" spans="1:16">
      <c r="A445" t="s">
        <v>536</v>
      </c>
      <c r="B445" t="s">
        <v>749</v>
      </c>
      <c r="C445" t="s">
        <v>101</v>
      </c>
      <c r="D445" t="s">
        <v>13</v>
      </c>
      <c r="E445" s="2" t="s">
        <v>846</v>
      </c>
      <c r="F445" t="s">
        <v>750</v>
      </c>
      <c r="G445" t="s">
        <v>28</v>
      </c>
      <c r="H445" t="s">
        <v>39</v>
      </c>
      <c r="I445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445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Chris Brownchris.brown396@example.comJapanTraining: Dashboard Design07:00 PM9AKosherAttendee</v>
      </c>
      <c r="K445" t="str">
        <f>IF(COUNTIF(Clean_Table[Temp ID],Clean_Table[[#This Row],[Temp ID]])&gt;1,"Duplicate","Unique")</f>
        <v>Unique</v>
      </c>
      <c r="L445">
        <f>IF(Clean_Table[[#This Row],[Role]]="VIP",1,0)</f>
        <v>0</v>
      </c>
      <c r="M445">
        <f>IF(Clean_Table[[#This Row],[Role]]="Speaker",1,0)</f>
        <v>0</v>
      </c>
      <c r="N445">
        <f>IF(Clean_Table[[#This Row],[Role]]="Sponsor",1,0)</f>
        <v>0</v>
      </c>
      <c r="O445">
        <f>IF(Clean_Table[[#This Row],[Role]]="Attendee",1,0)</f>
        <v>1</v>
      </c>
      <c r="P445">
        <f>IF(Clean_Table[[#This Row],[Empty Cell Check]]="Missing",1,0)</f>
        <v>0</v>
      </c>
    </row>
    <row r="446" spans="1:16">
      <c r="A446" t="s">
        <v>751</v>
      </c>
      <c r="B446" t="s">
        <v>752</v>
      </c>
      <c r="C446" t="s">
        <v>101</v>
      </c>
      <c r="D446" t="s">
        <v>810</v>
      </c>
      <c r="E446" s="1" t="s">
        <v>830</v>
      </c>
      <c r="F446" t="s">
        <v>750</v>
      </c>
      <c r="G446" t="s">
        <v>28</v>
      </c>
      <c r="H446" t="s">
        <v>39</v>
      </c>
      <c r="I446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446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Jesse Walkerjesse.walker947@example.comJapan12:00 AM9AKosherAttendee</v>
      </c>
      <c r="K446" t="str">
        <f>IF(COUNTIF(Clean_Table[Temp ID],Clean_Table[[#This Row],[Temp ID]])&gt;1,"Duplicate","Unique")</f>
        <v>Unique</v>
      </c>
      <c r="L446">
        <f>IF(Clean_Table[[#This Row],[Role]]="VIP",1,0)</f>
        <v>0</v>
      </c>
      <c r="M446">
        <f>IF(Clean_Table[[#This Row],[Role]]="Speaker",1,0)</f>
        <v>0</v>
      </c>
      <c r="N446">
        <f>IF(Clean_Table[[#This Row],[Role]]="Sponsor",1,0)</f>
        <v>0</v>
      </c>
      <c r="O446">
        <f>IF(Clean_Table[[#This Row],[Role]]="Attendee",1,0)</f>
        <v>1</v>
      </c>
      <c r="P446">
        <f>IF(Clean_Table[[#This Row],[Empty Cell Check]]="Missing",1,0)</f>
        <v>1</v>
      </c>
    </row>
    <row r="447" spans="1:16">
      <c r="A447" t="s">
        <v>211</v>
      </c>
      <c r="B447" t="s">
        <v>753</v>
      </c>
      <c r="C447" t="s">
        <v>78</v>
      </c>
      <c r="D447" t="s">
        <v>71</v>
      </c>
      <c r="E447" s="1" t="s">
        <v>814</v>
      </c>
      <c r="F447" t="s">
        <v>754</v>
      </c>
      <c r="G447" t="s">
        <v>31</v>
      </c>
      <c r="H447" t="s">
        <v>39</v>
      </c>
      <c r="I447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447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Johnsonmorgan.johnson668@example.comAustraliaWebinar: AI Ethics11:00 PM9BNoneAttendee</v>
      </c>
      <c r="K447" t="str">
        <f>IF(COUNTIF(Clean_Table[Temp ID],Clean_Table[[#This Row],[Temp ID]])&gt;1,"Duplicate","Unique")</f>
        <v>Unique</v>
      </c>
      <c r="L447">
        <f>IF(Clean_Table[[#This Row],[Role]]="VIP",1,0)</f>
        <v>0</v>
      </c>
      <c r="M447">
        <f>IF(Clean_Table[[#This Row],[Role]]="Speaker",1,0)</f>
        <v>0</v>
      </c>
      <c r="N447">
        <f>IF(Clean_Table[[#This Row],[Role]]="Sponsor",1,0)</f>
        <v>0</v>
      </c>
      <c r="O447">
        <f>IF(Clean_Table[[#This Row],[Role]]="Attendee",1,0)</f>
        <v>1</v>
      </c>
      <c r="P447">
        <f>IF(Clean_Table[[#This Row],[Empty Cell Check]]="Missing",1,0)</f>
        <v>0</v>
      </c>
    </row>
    <row r="448" spans="1:16">
      <c r="A448" t="s">
        <v>64</v>
      </c>
      <c r="B448" t="s">
        <v>755</v>
      </c>
      <c r="C448" t="s">
        <v>96</v>
      </c>
      <c r="D448" t="s">
        <v>50</v>
      </c>
      <c r="E448" s="1" t="s">
        <v>831</v>
      </c>
      <c r="F448" t="s">
        <v>754</v>
      </c>
      <c r="G448" t="s">
        <v>52</v>
      </c>
      <c r="H448" t="s">
        <v>39</v>
      </c>
      <c r="I448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448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Jamie Smithjamie.smith372@example.comUnited KingdomWorkshop: Excel Mastery06:30 PM9BVeganAttendee</v>
      </c>
      <c r="K448" t="str">
        <f>IF(COUNTIF(Clean_Table[Temp ID],Clean_Table[[#This Row],[Temp ID]])&gt;1,"Duplicate","Unique")</f>
        <v>Unique</v>
      </c>
      <c r="L448">
        <f>IF(Clean_Table[[#This Row],[Role]]="VIP",1,0)</f>
        <v>0</v>
      </c>
      <c r="M448">
        <f>IF(Clean_Table[[#This Row],[Role]]="Speaker",1,0)</f>
        <v>0</v>
      </c>
      <c r="N448">
        <f>IF(Clean_Table[[#This Row],[Role]]="Sponsor",1,0)</f>
        <v>0</v>
      </c>
      <c r="O448">
        <f>IF(Clean_Table[[#This Row],[Role]]="Attendee",1,0)</f>
        <v>1</v>
      </c>
      <c r="P448">
        <f>IF(Clean_Table[[#This Row],[Empty Cell Check]]="Missing",1,0)</f>
        <v>0</v>
      </c>
    </row>
    <row r="449" spans="1:16">
      <c r="A449" t="s">
        <v>35</v>
      </c>
      <c r="B449" t="s">
        <v>756</v>
      </c>
      <c r="C449" t="s">
        <v>78</v>
      </c>
      <c r="D449" t="s">
        <v>45</v>
      </c>
      <c r="E449" s="2" t="s">
        <v>840</v>
      </c>
      <c r="F449" t="s">
        <v>754</v>
      </c>
      <c r="G449" t="s">
        <v>31</v>
      </c>
      <c r="H449" t="s">
        <v>39</v>
      </c>
      <c r="I449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449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Taylor Halltaylor.hall123@example.comAustraliaKeynote: Future of Data08:30 AM9BNoneAttendee</v>
      </c>
      <c r="K449" t="str">
        <f>IF(COUNTIF(Clean_Table[Temp ID],Clean_Table[[#This Row],[Temp ID]])&gt;1,"Duplicate","Unique")</f>
        <v>Unique</v>
      </c>
      <c r="L449">
        <f>IF(Clean_Table[[#This Row],[Role]]="VIP",1,0)</f>
        <v>0</v>
      </c>
      <c r="M449">
        <f>IF(Clean_Table[[#This Row],[Role]]="Speaker",1,0)</f>
        <v>0</v>
      </c>
      <c r="N449">
        <f>IF(Clean_Table[[#This Row],[Role]]="Sponsor",1,0)</f>
        <v>0</v>
      </c>
      <c r="O449">
        <f>IF(Clean_Table[[#This Row],[Role]]="Attendee",1,0)</f>
        <v>1</v>
      </c>
      <c r="P449">
        <f>IF(Clean_Table[[#This Row],[Empty Cell Check]]="Missing",1,0)</f>
        <v>0</v>
      </c>
    </row>
    <row r="450" spans="1:16">
      <c r="A450" t="s">
        <v>443</v>
      </c>
      <c r="B450" t="s">
        <v>757</v>
      </c>
      <c r="C450" t="s">
        <v>55</v>
      </c>
      <c r="D450" t="s">
        <v>71</v>
      </c>
      <c r="E450" s="2" t="s">
        <v>823</v>
      </c>
      <c r="F450" t="s">
        <v>758</v>
      </c>
      <c r="G450" t="s">
        <v>810</v>
      </c>
      <c r="H450" t="s">
        <v>39</v>
      </c>
      <c r="I450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Missing</v>
      </c>
      <c r="J450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Alex Leealex.lee509@example.comBrazilWebinar: AI Ethics05:30 AM9CAttendee</v>
      </c>
      <c r="K450" t="str">
        <f>IF(COUNTIF(Clean_Table[Temp ID],Clean_Table[[#This Row],[Temp ID]])&gt;1,"Duplicate","Unique")</f>
        <v>Unique</v>
      </c>
      <c r="L450">
        <f>IF(Clean_Table[[#This Row],[Role]]="VIP",1,0)</f>
        <v>0</v>
      </c>
      <c r="M450">
        <f>IF(Clean_Table[[#This Row],[Role]]="Speaker",1,0)</f>
        <v>0</v>
      </c>
      <c r="N450">
        <f>IF(Clean_Table[[#This Row],[Role]]="Sponsor",1,0)</f>
        <v>0</v>
      </c>
      <c r="O450">
        <f>IF(Clean_Table[[#This Row],[Role]]="Attendee",1,0)</f>
        <v>1</v>
      </c>
      <c r="P450">
        <f>IF(Clean_Table[[#This Row],[Empty Cell Check]]="Missing",1,0)</f>
        <v>1</v>
      </c>
    </row>
    <row r="451" spans="1:16">
      <c r="A451" t="s">
        <v>619</v>
      </c>
      <c r="B451" t="s">
        <v>759</v>
      </c>
      <c r="C451" t="s">
        <v>37</v>
      </c>
      <c r="D451" t="s">
        <v>71</v>
      </c>
      <c r="E451" s="2" t="s">
        <v>861</v>
      </c>
      <c r="F451" t="s">
        <v>760</v>
      </c>
      <c r="G451" t="s">
        <v>28</v>
      </c>
      <c r="H451" t="s">
        <v>39</v>
      </c>
      <c r="I451" t="str">
        <f>IF(OR(Clean_Table[[#This Row],[Name]]="",Clean_Table[[#This Row],[Email]]="",Clean_Table[[#This Row],[Country]]="",Clean_Table[[#This Row],[Session]]="",Clean_Table[[#This Row],[Arrival Time]]="",Clean_Table[[#This Row],[Seat]]="",Clean_Table[[#This Row],[Food Preference]]="",Clean_Table[[#This Row],[Role]]=""),"Missing","OK")</f>
        <v>OK</v>
      </c>
      <c r="J451" t="str">
        <f>Clean_Table[[#This Row],[Name]]&amp;Clean_Table[[#This Row],[Email]]&amp;Clean_Table[[#This Row],[Country]]&amp;Clean_Table[[#This Row],[Session]]&amp;Clean_Table[[#This Row],[Arrival Time]]&amp;Clean_Table[[#This Row],[Seat]]&amp;Clean_Table[[#This Row],[Food Preference]]&amp;Clean_Table[[#This Row],[Role]]</f>
        <v>Morgan Allenmorgan.allen501@example.comCanadaWebinar: AI Ethics01:30 AM9DKosherAttendee</v>
      </c>
      <c r="K451" t="str">
        <f>IF(COUNTIF(Clean_Table[Temp ID],Clean_Table[[#This Row],[Temp ID]])&gt;1,"Duplicate","Unique")</f>
        <v>Unique</v>
      </c>
      <c r="L451">
        <f>IF(Clean_Table[[#This Row],[Role]]="VIP",1,0)</f>
        <v>0</v>
      </c>
      <c r="M451">
        <f>IF(Clean_Table[[#This Row],[Role]]="Speaker",1,0)</f>
        <v>0</v>
      </c>
      <c r="N451">
        <f>IF(Clean_Table[[#This Row],[Role]]="Sponsor",1,0)</f>
        <v>0</v>
      </c>
      <c r="O451">
        <f>IF(Clean_Table[[#This Row],[Role]]="Attendee",1,0)</f>
        <v>1</v>
      </c>
      <c r="P451">
        <f>IF(Clean_Table[[#This Row],[Empty Cell Check]]="Missing",1,0)</f>
        <v>0</v>
      </c>
    </row>
  </sheetData>
  <conditionalFormatting sqref="I552:I1048576">
    <cfRule type="duplicateValues" dxfId="0" priority="1"/>
  </conditionalFormatting>
  <hyperlinks>
    <hyperlink ref="B18" r:id="rId1" xr:uid="{5CAEC0B0-364B-40DB-B9BE-E4E113D96F24}"/>
  </hyperlinks>
  <pageMargins left="0.7" right="0.7" top="0.75" bottom="0.75" header="0.3" footer="0.3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6F1BE-8EFC-42DD-90CA-4A9A65362D66}">
  <dimension ref="B1:T47"/>
  <sheetViews>
    <sheetView showGridLines="0" showRowColHeaders="0" tabSelected="1" zoomScale="80" zoomScaleNormal="80" workbookViewId="0">
      <selection activeCell="B1" sqref="B1:O1"/>
    </sheetView>
  </sheetViews>
  <sheetFormatPr defaultRowHeight="15"/>
  <cols>
    <col min="19" max="19" width="48.7109375" bestFit="1" customWidth="1"/>
    <col min="20" max="20" width="119.5703125" bestFit="1" customWidth="1"/>
  </cols>
  <sheetData>
    <row r="1" spans="2:20" ht="26.25">
      <c r="B1" s="38" t="s">
        <v>877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40"/>
      <c r="P1" s="13"/>
      <c r="Q1" s="12"/>
      <c r="R1" s="12"/>
      <c r="S1" s="12"/>
      <c r="T1" s="12"/>
    </row>
    <row r="3" spans="2:20" ht="15" customHeight="1">
      <c r="B3" s="41">
        <f>COUNTA(Clean_Table[Name])</f>
        <v>450</v>
      </c>
      <c r="C3" s="42"/>
      <c r="D3" s="42"/>
      <c r="E3" s="42"/>
      <c r="F3" s="42"/>
      <c r="G3" s="43"/>
      <c r="S3" s="7" t="s">
        <v>797</v>
      </c>
      <c r="T3" s="7" t="s">
        <v>886</v>
      </c>
    </row>
    <row r="4" spans="2:20" ht="15" customHeight="1">
      <c r="B4" s="44"/>
      <c r="C4" s="45"/>
      <c r="D4" s="45"/>
      <c r="E4" s="45"/>
      <c r="F4" s="45"/>
      <c r="G4" s="46"/>
      <c r="S4" s="7" t="s">
        <v>798</v>
      </c>
      <c r="T4" s="7" t="s">
        <v>887</v>
      </c>
    </row>
    <row r="5" spans="2:20" ht="15" customHeight="1">
      <c r="B5" s="44"/>
      <c r="C5" s="45"/>
      <c r="D5" s="45"/>
      <c r="E5" s="45"/>
      <c r="F5" s="45"/>
      <c r="G5" s="46"/>
      <c r="S5" s="7" t="s">
        <v>799</v>
      </c>
      <c r="T5" s="7" t="s">
        <v>887</v>
      </c>
    </row>
    <row r="6" spans="2:20" ht="15" customHeight="1">
      <c r="B6" s="44"/>
      <c r="C6" s="45"/>
      <c r="D6" s="45"/>
      <c r="E6" s="45"/>
      <c r="F6" s="45"/>
      <c r="G6" s="46"/>
      <c r="S6" s="7" t="s">
        <v>800</v>
      </c>
      <c r="T6" s="7" t="s">
        <v>887</v>
      </c>
    </row>
    <row r="7" spans="2:20" ht="15" customHeight="1">
      <c r="B7" s="44"/>
      <c r="C7" s="45"/>
      <c r="D7" s="45"/>
      <c r="E7" s="45"/>
      <c r="F7" s="45"/>
      <c r="G7" s="46"/>
      <c r="S7" s="7" t="s">
        <v>801</v>
      </c>
      <c r="T7" s="7" t="s">
        <v>887</v>
      </c>
    </row>
    <row r="8" spans="2:20" ht="15" customHeight="1">
      <c r="B8" s="44"/>
      <c r="C8" s="45"/>
      <c r="D8" s="45"/>
      <c r="E8" s="45"/>
      <c r="F8" s="45"/>
      <c r="G8" s="46"/>
      <c r="S8" s="7" t="s">
        <v>802</v>
      </c>
      <c r="T8" s="7" t="s">
        <v>887</v>
      </c>
    </row>
    <row r="9" spans="2:20" ht="15" customHeight="1">
      <c r="B9" s="44"/>
      <c r="C9" s="45"/>
      <c r="D9" s="45"/>
      <c r="E9" s="45"/>
      <c r="F9" s="45"/>
      <c r="G9" s="46"/>
    </row>
    <row r="10" spans="2:20" ht="15" customHeight="1">
      <c r="B10" s="44"/>
      <c r="C10" s="45"/>
      <c r="D10" s="45"/>
      <c r="E10" s="45"/>
      <c r="F10" s="45"/>
      <c r="G10" s="46"/>
      <c r="S10" s="7" t="s">
        <v>970</v>
      </c>
      <c r="T10" s="7" t="s">
        <v>971</v>
      </c>
    </row>
    <row r="11" spans="2:20" ht="14.25" customHeight="1">
      <c r="B11" s="32" t="s">
        <v>878</v>
      </c>
      <c r="C11" s="33"/>
      <c r="D11" s="33"/>
      <c r="E11" s="33"/>
      <c r="F11" s="33"/>
      <c r="G11" s="34"/>
      <c r="S11" s="7" t="s">
        <v>972</v>
      </c>
      <c r="T11" s="7" t="s">
        <v>973</v>
      </c>
    </row>
    <row r="12" spans="2:20" ht="15" customHeight="1">
      <c r="B12" s="32"/>
      <c r="C12" s="33"/>
      <c r="D12" s="33"/>
      <c r="E12" s="33"/>
      <c r="F12" s="33"/>
      <c r="G12" s="34"/>
      <c r="S12" s="7" t="s">
        <v>974</v>
      </c>
      <c r="T12" s="7" t="s">
        <v>981</v>
      </c>
    </row>
    <row r="13" spans="2:20" ht="15" customHeight="1">
      <c r="B13" s="32"/>
      <c r="C13" s="33"/>
      <c r="D13" s="33"/>
      <c r="E13" s="33"/>
      <c r="F13" s="33"/>
      <c r="G13" s="34"/>
      <c r="S13" s="7" t="s">
        <v>975</v>
      </c>
      <c r="T13" s="7" t="s">
        <v>976</v>
      </c>
    </row>
    <row r="14" spans="2:20" ht="15" customHeight="1">
      <c r="B14" s="32"/>
      <c r="C14" s="33"/>
      <c r="D14" s="33"/>
      <c r="E14" s="33"/>
      <c r="F14" s="33"/>
      <c r="G14" s="34"/>
      <c r="S14" s="7" t="s">
        <v>977</v>
      </c>
      <c r="T14" s="7" t="s">
        <v>978</v>
      </c>
    </row>
    <row r="15" spans="2:20">
      <c r="B15" s="32"/>
      <c r="C15" s="33"/>
      <c r="D15" s="33"/>
      <c r="E15" s="33"/>
      <c r="F15" s="33"/>
      <c r="G15" s="34"/>
      <c r="S15" s="7" t="s">
        <v>979</v>
      </c>
      <c r="T15" s="7" t="s">
        <v>980</v>
      </c>
    </row>
    <row r="16" spans="2:20">
      <c r="B16" s="35"/>
      <c r="C16" s="36"/>
      <c r="D16" s="36"/>
      <c r="E16" s="36"/>
      <c r="F16" s="36"/>
      <c r="G16" s="37"/>
    </row>
    <row r="34" spans="9:15">
      <c r="I34" s="41">
        <f>SUM('Clean_Table'!P2:P451)</f>
        <v>271</v>
      </c>
      <c r="J34" s="42"/>
      <c r="K34" s="42"/>
      <c r="L34" s="42"/>
      <c r="M34" s="42"/>
      <c r="N34" s="42"/>
      <c r="O34" s="43"/>
    </row>
    <row r="35" spans="9:15">
      <c r="I35" s="44"/>
      <c r="J35" s="45"/>
      <c r="K35" s="45"/>
      <c r="L35" s="45"/>
      <c r="M35" s="45"/>
      <c r="N35" s="45"/>
      <c r="O35" s="46"/>
    </row>
    <row r="36" spans="9:15">
      <c r="I36" s="44"/>
      <c r="J36" s="45"/>
      <c r="K36" s="45"/>
      <c r="L36" s="45"/>
      <c r="M36" s="45"/>
      <c r="N36" s="45"/>
      <c r="O36" s="46"/>
    </row>
    <row r="37" spans="9:15">
      <c r="I37" s="44"/>
      <c r="J37" s="45"/>
      <c r="K37" s="45"/>
      <c r="L37" s="45"/>
      <c r="M37" s="45"/>
      <c r="N37" s="45"/>
      <c r="O37" s="46"/>
    </row>
    <row r="38" spans="9:15">
      <c r="I38" s="44"/>
      <c r="J38" s="45"/>
      <c r="K38" s="45"/>
      <c r="L38" s="45"/>
      <c r="M38" s="45"/>
      <c r="N38" s="45"/>
      <c r="O38" s="46"/>
    </row>
    <row r="39" spans="9:15">
      <c r="I39" s="44"/>
      <c r="J39" s="45"/>
      <c r="K39" s="45"/>
      <c r="L39" s="45"/>
      <c r="M39" s="45"/>
      <c r="N39" s="45"/>
      <c r="O39" s="46"/>
    </row>
    <row r="40" spans="9:15">
      <c r="I40" s="44"/>
      <c r="J40" s="45"/>
      <c r="K40" s="45"/>
      <c r="L40" s="45"/>
      <c r="M40" s="45"/>
      <c r="N40" s="45"/>
      <c r="O40" s="46"/>
    </row>
    <row r="41" spans="9:15">
      <c r="I41" s="26" t="s">
        <v>881</v>
      </c>
      <c r="J41" s="27"/>
      <c r="K41" s="27"/>
      <c r="L41" s="27"/>
      <c r="M41" s="27"/>
      <c r="N41" s="27"/>
      <c r="O41" s="28"/>
    </row>
    <row r="42" spans="9:15">
      <c r="I42" s="26"/>
      <c r="J42" s="27"/>
      <c r="K42" s="27"/>
      <c r="L42" s="27"/>
      <c r="M42" s="27"/>
      <c r="N42" s="27"/>
      <c r="O42" s="28"/>
    </row>
    <row r="43" spans="9:15">
      <c r="I43" s="26"/>
      <c r="J43" s="27"/>
      <c r="K43" s="27"/>
      <c r="L43" s="27"/>
      <c r="M43" s="27"/>
      <c r="N43" s="27"/>
      <c r="O43" s="28"/>
    </row>
    <row r="44" spans="9:15">
      <c r="I44" s="26"/>
      <c r="J44" s="27"/>
      <c r="K44" s="27"/>
      <c r="L44" s="27"/>
      <c r="M44" s="27"/>
      <c r="N44" s="27"/>
      <c r="O44" s="28"/>
    </row>
    <row r="45" spans="9:15">
      <c r="I45" s="26"/>
      <c r="J45" s="27"/>
      <c r="K45" s="27"/>
      <c r="L45" s="27"/>
      <c r="M45" s="27"/>
      <c r="N45" s="27"/>
      <c r="O45" s="28"/>
    </row>
    <row r="46" spans="9:15">
      <c r="I46" s="26"/>
      <c r="J46" s="27"/>
      <c r="K46" s="27"/>
      <c r="L46" s="27"/>
      <c r="M46" s="27"/>
      <c r="N46" s="27"/>
      <c r="O46" s="28"/>
    </row>
    <row r="47" spans="9:15">
      <c r="I47" s="29"/>
      <c r="J47" s="30"/>
      <c r="K47" s="30"/>
      <c r="L47" s="30"/>
      <c r="M47" s="30"/>
      <c r="N47" s="30"/>
      <c r="O47" s="31"/>
    </row>
  </sheetData>
  <mergeCells count="5">
    <mergeCell ref="I41:O47"/>
    <mergeCell ref="B11:G16"/>
    <mergeCell ref="B1:O1"/>
    <mergeCell ref="I34:O40"/>
    <mergeCell ref="B3:G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Process Logs</vt:lpstr>
      <vt:lpstr>Raw_Data_Table</vt:lpstr>
      <vt:lpstr>EDA_Table</vt:lpstr>
      <vt:lpstr>EDA</vt:lpstr>
      <vt:lpstr>Clean_Table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naufalizzudin36@gmail.com</dc:creator>
  <cp:lastModifiedBy>naufalizzudin36@gmail.com</cp:lastModifiedBy>
  <dcterms:created xsi:type="dcterms:W3CDTF">2026-01-14T03:20:06Z</dcterms:created>
  <dcterms:modified xsi:type="dcterms:W3CDTF">2026-02-27T14:10:01Z</dcterms:modified>
</cp:coreProperties>
</file>